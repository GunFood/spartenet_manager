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Übersicht" sheetId="2" state="visible" r:id="rId4"/>
    <sheet name="Annahmen" sheetId="3" state="visible" r:id="rId5"/>
    <sheet name="Anlagen" sheetId="4" state="visible" r:id="rId6"/>
    <sheet name="Buchungsquote" sheetId="5" state="visible" r:id="rId7"/>
    <sheet name="Netz" sheetId="6" state="visible" r:id="rId8"/>
    <sheet name="Investition" sheetId="7" state="visible" r:id="rId9"/>
    <sheet name="Standorte" sheetId="8" state="visible" r:id="rId10"/>
    <sheet name="Ergebnis" sheetId="9" state="visible" r:id="rId11"/>
  </sheets>
  <definedNames>
    <definedName function="false" hidden="true" localSheetId="3" name="_xlnm._FilterDatabase" vbProcedure="false">Anlagen!$A$4:$AB$92</definedName>
    <definedName function="false" hidden="true" localSheetId="8" name="_xlnm._FilterDatabase" vbProcedure="false">Ergebnis!$A$4:$N$92</definedName>
    <definedName function="false" hidden="true" localSheetId="7" name="_xlnm._FilterDatabase" vbProcedure="false">Standorte!$A$4:$P$92</definedName>
    <definedName function="false" hidden="false" name="Abg_1" vbProcedure="false">Annahmen!$C$80</definedName>
    <definedName function="false" hidden="false" name="Abg_2" vbProcedure="false">Annahmen!$C$81</definedName>
    <definedName function="false" hidden="false" name="Abg_3" vbProcedure="false">Annahmen!$C$82</definedName>
    <definedName function="false" hidden="false" name="Abg_4" vbProcedure="false">Annahmen!$C$83</definedName>
    <definedName function="false" hidden="false" name="Abg_5" vbProcedure="false">Annahmen!$C$84</definedName>
    <definedName function="false" hidden="false" name="Anteil_Technik" vbProcedure="false">Annahmen!$C$49</definedName>
    <definedName function="false" hidden="false" name="AP_je_Mast" vbProcedure="false">Annahmen!$C$48</definedName>
    <definedName function="false" hidden="false" name="Bandbreite" vbProcedure="false">Annahmen!$C$13</definedName>
    <definedName function="false" hidden="false" name="EK" vbProcedure="false">Annahmen!$C$44</definedName>
    <definedName function="false" hidden="false" name="Faser_f" vbProcedure="false">Annahmen!$C$51</definedName>
    <definedName function="false" hidden="false" name="Jahre" vbProcedure="false">Annahmen!$C$14</definedName>
    <definedName function="false" hidden="false" name="Kabel_je_AP" vbProcedure="false">Annahmen!$C$53</definedName>
    <definedName function="false" hidden="false" name="KU" vbProcedure="false">Annahmen!$C$42</definedName>
    <definedName function="false" hidden="false" name="Kupfer_f" vbProcedure="false">Annahmen!$C$52</definedName>
    <definedName function="false" hidden="false" name="Leitung_k" vbProcedure="false">Annahmen!$C$50</definedName>
    <definedName function="false" hidden="false" name="Max_GW" vbProcedure="false">Annahmen!$C$8</definedName>
    <definedName function="false" hidden="false" name="Nachbes" vbProcedure="false">Annahmen!$C$85</definedName>
    <definedName function="false" hidden="false" name="Nachbes_Leer" vbProcedure="false">Annahmen!$C$86</definedName>
    <definedName function="false" hidden="false" name="Neig_1" vbProcedure="false">Annahmen!$C$69</definedName>
    <definedName function="false" hidden="false" name="Neig_2" vbProcedure="false">Annahmen!$C$70</definedName>
    <definedName function="false" hidden="false" name="Neig_3" vbProcedure="false">Annahmen!$C$71</definedName>
    <definedName function="false" hidden="false" name="Neig_4" vbProcedure="false">Annahmen!$C$72</definedName>
    <definedName function="false" hidden="false" name="Neig_5" vbProcedure="false">Annahmen!$C$73</definedName>
    <definedName function="false" hidden="false" name="Neig_Neu" vbProcedure="false">Annahmen!$C$87</definedName>
    <definedName function="false" hidden="false" name="Parz_je_AP" vbProcedure="false">Annahmen!$C$47</definedName>
    <definedName function="false" hidden="false" name="PG" vbProcedure="false">Annahmen!$C$7</definedName>
    <definedName function="false" hidden="false" name="Ports_Agg" vbProcedure="false">Annahmen!$C$54</definedName>
    <definedName function="false" hidden="false" name="Preis_Jahr" vbProcedure="false">Annahmen!$C$63</definedName>
    <definedName function="false" hidden="false" name="P_Agg" vbProcedure="false">Annahmen!$C$18</definedName>
    <definedName function="false" hidden="false" name="P_AP" vbProcedure="false">Annahmen!$C$31</definedName>
    <definedName function="false" hidden="false" name="P_DAC" vbProcedure="false">Annahmen!$C$19</definedName>
    <definedName function="false" hidden="false" name="P_Faser" vbProcedure="false">Annahmen!$C$34</definedName>
    <definedName function="false" hidden="false" name="P_Flex" vbProcedure="false">Annahmen!$C$23</definedName>
    <definedName function="false" hidden="false" name="P_Fund" vbProcedure="false">Annahmen!$C$33</definedName>
    <definedName function="false" hidden="false" name="P_Halter" vbProcedure="false">Annahmen!$C$25</definedName>
    <definedName function="false" hidden="false" name="P_Kupfer" vbProcedure="false">Annahmen!$C$35</definedName>
    <definedName function="false" hidden="false" name="P_KVz" vbProcedure="false">Annahmen!$C$20</definedName>
    <definedName function="false" hidden="false" name="P_Luefter" vbProcedure="false">Annahmen!$C$26</definedName>
    <definedName function="false" hidden="false" name="P_Mast" vbProcedure="false">Annahmen!$C$32</definedName>
    <definedName function="false" hidden="false" name="P_MontMast" vbProcedure="false">Annahmen!$C$38</definedName>
    <definedName function="false" hidden="false" name="P_MontStandort" vbProcedure="false">Annahmen!$C$37</definedName>
    <definedName function="false" hidden="false" name="P_MontZul" vbProcedure="false">Annahmen!$C$39</definedName>
    <definedName function="false" hidden="false" name="P_NT" vbProcedure="false">Annahmen!$C$24</definedName>
    <definedName function="false" hidden="false" name="P_Saeule" vbProcedure="false">Annahmen!$C$28</definedName>
    <definedName function="false" hidden="false" name="P_SFP" vbProcedure="false">Annahmen!$C$22</definedName>
    <definedName function="false" hidden="false" name="P_Spleiss" vbProcedure="false">Annahmen!$C$27</definedName>
    <definedName function="false" hidden="false" name="P_Surge" vbProcedure="false">Annahmen!$C$30</definedName>
    <definedName function="false" hidden="false" name="P_Tiefbau" vbProcedure="false">Annahmen!$C$36</definedName>
    <definedName function="false" hidden="false" name="P_UCG" vbProcedure="false">Annahmen!$C$17</definedName>
    <definedName function="false" hidden="false" name="P_Ueber" vbProcedure="false">Annahmen!$C$29</definedName>
    <definedName function="false" hidden="false" name="P_USV" vbProcedure="false">Annahmen!$C$21</definedName>
    <definedName function="false" hidden="false" name="Quote_fest" vbProcedure="false">Annahmen!$C$67</definedName>
    <definedName function="false" hidden="false" name="Quote_Modus" vbProcedure="false">Annahmen!$C$66</definedName>
    <definedName function="false" hidden="false" name="Strom_GW" vbProcedure="false">Annahmen!$C$59</definedName>
    <definedName function="false" hidden="false" name="Strom_Mast" vbProcedure="false">Annahmen!$C$60</definedName>
    <definedName function="false" hidden="false" name="Strom_Standort" vbProcedure="false">Annahmen!$C$58</definedName>
    <definedName function="false" hidden="false" name="Stufe_A" vbProcedure="false">Annahmen!$C$74</definedName>
    <definedName function="false" hidden="false" name="Stufe_B" vbProcedure="false">Annahmen!$C$75</definedName>
    <definedName function="false" hidden="false" name="Stufe_C" vbProcedure="false">Annahmen!$C$76</definedName>
    <definedName function="false" hidden="false" name="Stufe_D" vbProcedure="false">Annahmen!$C$77</definedName>
    <definedName function="false" hidden="false" name="Szenario" vbProcedure="false">Annahmen!$C$68</definedName>
    <definedName function="false" hidden="false" name="Ueberbuchung" vbProcedure="false">Annahmen!$C$12</definedName>
    <definedName function="false" hidden="false" name="Umweg" vbProcedure="false">Annahmen!$C$10</definedName>
    <definedName function="false" hidden="false" name="Uplink_Kap" vbProcedure="false">Annahmen!$C$11</definedName>
    <definedName function="false" hidden="false" name="Uplink_Monat" vbProcedure="false">Annahmen!$C$57</definedName>
    <definedName function="false" hidden="false" name="USt" vbProcedure="false">Annahmen!$C$43</definedName>
    <definedName function="false" hidden="false" name="Vorschlag_nutzen" vbProcedure="false">Annahmen!$C$9</definedName>
    <definedName function="false" hidden="false" name="Wartung" vbProcedure="false">Annahmen!$C$61</definedName>
    <definedName function="false" hidden="false" name="Zahlung" vbProcedure="false">Annahmen!$C$62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4" authorId="0">
      <text>
        <r>
          <rPr>
            <sz val="10"/>
            <rFont val="Arial"/>
            <family val="2"/>
          </rPr>
          <t xml:space="preserve">Nr. der Sparte, in der die Gateways stehen. Eigene Nr. = diese Sparte ist Standort. Leer = Vorschlag bzw. eigenständig.</t>
        </r>
      </text>
    </comment>
    <comment ref="T4" authorId="0">
      <text>
        <r>
          <rPr>
            <sz val="10"/>
            <rFont val="Arial"/>
            <family val="2"/>
          </rPr>
          <t xml:space="preserve">Von welcher Sparte die Glasfaser kommt (muss am selben Standort hängen). Leer = direkt vom Standort.</t>
        </r>
      </text>
    </comment>
  </commentList>
</comments>
</file>

<file path=xl/sharedStrings.xml><?xml version="1.0" encoding="utf-8"?>
<sst xmlns="http://schemas.openxmlformats.org/spreadsheetml/2006/main" count="783" uniqueCount="558">
  <si>
    <t xml:space="preserve">SparteNet – Gateway-Standorte, Investition und Buchungsquote der Kleingartenanlagen</t>
  </si>
  <si>
    <t xml:space="preserve">Grundlage: Kleingartenentwicklungskonzept 2040, Anlage 1 (Steckbriefe), Anlage 2 (Karte) – Stadt Brandenburg an der Havel, März/April 2026</t>
  </si>
  <si>
    <t xml:space="preserve">So ist das Netz aufgebaut</t>
  </si>
  <si>
    <t xml:space="preserve">• Ein Gateway versorgt 55 Parzellen (Annahme „Parzellen je Gateway“). An einem Standort stehen so viele Gateways, wie die zugeordneten Sparten brauchen.</t>
  </si>
  <si>
    <t xml:space="preserve">• Die Gateways werden der Reihe nach gefüllt: hat die erste Sparte 86 Parzellen, belegt sie Gateway 1 ganz und 31 Plätze von Gateway 2 – die nächste Sparte nutzt die restlichen 24 Plätze, dann folgt Gateway 3.</t>
  </si>
  <si>
    <t xml:space="preserve">• Alle Gateways eines Standorts teilen sich einen Internet-Anschluss. Erst wenn der Bedarf größer ist als der Anschluss, wird ein zweiter gerechnet.</t>
  </si>
  <si>
    <t xml:space="preserve">• Sparten ohne eigene Gateways werden per Glasfaser von Sparte zu Sparte angebunden (Spalte „Zuleitung von“). Kein Richtfunk, keine Tiefbaukosten (Annahme „Tiefbau €/m“ = 0).</t>
  </si>
  <si>
    <t xml:space="preserve">Was Sie frei festlegen (Blatt „Anlagen“, gelbe Spalten)</t>
  </si>
  <si>
    <t xml:space="preserve">• „Gateway-Standort“: Nr. der Sparte, in der die Gateways stehen. Eigene Nr. = Sparte ist selbst Standort. Leer = Vorschlag (wenn in „Annahmen“ eingeschaltet), sonst eigener Standort.</t>
  </si>
  <si>
    <t xml:space="preserve">• „Zuleitung von“: Nr. der Sparte, von der die Glasfaser kommt (muss am selben Standort hängen). Leer = direkt vom Standort.</t>
  </si>
  <si>
    <t xml:space="preserve">• „Reihenfolge“: in welcher Reihenfolge die Sparten die Gateways eines Standorts füllen (1, 2, 3 …). Leer = zuerst die Standort-Sparte selbst, dann die übrigen in Zeilenfolge. Eingetragene Nummern kommen vor allen leeren.</t>
  </si>
  <si>
    <t xml:space="preserve">• „Quote manuell“: feste Buchungsquote nur für diese Sparte (z. B. 70 %).</t>
  </si>
  <si>
    <t xml:space="preserve">• „Entfernung manuell“, „APs/Masten/Leitung manuell“: überschreiben Kartenmaß bzw. Faustregeln.</t>
  </si>
  <si>
    <t xml:space="preserve">• „Kürzel“ (2–5 Zeichen A–Z/0–9) und „VLAN-Block“ (1–15, leer = Reihenfolge am Standort) für den VLAN-Plan (Blatt „Netz“, rechts).</t>
  </si>
  <si>
    <t xml:space="preserve">Buchungsquote (Blatt „Annahmen“)</t>
  </si>
  <si>
    <t xml:space="preserve">• Modus 1 = aus Altersverteilung und Leerstand berechnet (heute oder in 5 Jahren, Annahme „Szenario“). Modus 2 = eine feste Quote für alle Sparten.</t>
  </si>
  <si>
    <t xml:space="preserve">• Eine „Quote manuell“ je Sparte gilt immer vorrangig.</t>
  </si>
  <si>
    <t xml:space="preserve">Blätter</t>
  </si>
  <si>
    <t xml:space="preserve">Übersicht – Planung gegenüber „jede Sparte eigenständig“ · Netz – Standort, Zuleitung, Gateway-Belegung je Sparte · Standorte – Gateways, Internet, Kosten je Standort</t>
  </si>
  <si>
    <t xml:space="preserve">Investition – Technik in den Sparten · Buchungsquote – Alter, Leerstand, Prognose · Ergebnis – Kunden, Umsatz, Kosten (Standortkosten nach Parzellen verteilt), Amortisation</t>
  </si>
  <si>
    <t xml:space="preserve">Hinweise</t>
  </si>
  <si>
    <t xml:space="preserve">• Lage aus der Übersichtskarte gemessen (ca. ±300 m), Entfernungen = Luftlinie × Umwegfaktor. Genauere Werte in „Entfernung manuell“ eintragen.</t>
  </si>
  <si>
    <t xml:space="preserve">• Parzellen aus den Steckbriefen (Summe 5.017 wie Konzept S. 18); 8 Anlagen weichen in den Konzept-Tabellen 5–8 ab (rot markiert).</t>
  </si>
  <si>
    <t xml:space="preserve">• Altersverteilung aus den Steckbrief-Diagrammen gemessen; gerechnet wird mit den Anteilen. Buchungsneigung je Altersgruppe ist eine Annahme.</t>
  </si>
  <si>
    <t xml:space="preserve">• Preise netto; bei Kleinunternehmer rechnet die Mappe brutto (keine Vorsteuer).</t>
  </si>
  <si>
    <t xml:space="preserve">Übersicht – Planung gegenüber „jede Sparte eigenständig“</t>
  </si>
  <si>
    <t xml:space="preserve">Alle Werte berechnet · Planung in „Anlagen“ (gelbe Spalten) · Regeln und Quote in „Annahmen“</t>
  </si>
  <si>
    <t xml:space="preserve">Kennzahl</t>
  </si>
  <si>
    <t xml:space="preserve">jede Sparte eigenständig</t>
  </si>
  <si>
    <t xml:space="preserve">Ihre Planung</t>
  </si>
  <si>
    <t xml:space="preserve">Unterschied</t>
  </si>
  <si>
    <t xml:space="preserve">NETZ</t>
  </si>
  <si>
    <t xml:space="preserve">Gateway-Standorte (Schränke)</t>
  </si>
  <si>
    <t xml:space="preserve">Gateways</t>
  </si>
  <si>
    <t xml:space="preserve">Internet-Anschlüsse</t>
  </si>
  <si>
    <t xml:space="preserve">Glasfaser-Zuleitungen zwischen Sparten (m)</t>
  </si>
  <si>
    <t xml:space="preserve">Prüfungen mit Fehler</t>
  </si>
  <si>
    <t xml:space="preserve">KOSTEN</t>
  </si>
  <si>
    <t xml:space="preserve">Investition</t>
  </si>
  <si>
    <t xml:space="preserve">Laufende Kosten / Jahr</t>
  </si>
  <si>
    <t xml:space="preserve">Kosten im Betrachtungszeitraum (Investition + laufend × Jahre)</t>
  </si>
  <si>
    <t xml:space="preserve">BUCHUNG UND ERGEBNIS (Ihre Planung)</t>
  </si>
  <si>
    <t xml:space="preserve">Parzellen</t>
  </si>
  <si>
    <t xml:space="preserve">Leerstandsquote heute</t>
  </si>
  <si>
    <t xml:space="preserve">Leerstandsquote in 5 Jahren (Prognose)</t>
  </si>
  <si>
    <t xml:space="preserve">Buchungsquote (gewählt)</t>
  </si>
  <si>
    <t xml:space="preserve">Kunden</t>
  </si>
  <si>
    <t xml:space="preserve">Umsatz / Jahr</t>
  </si>
  <si>
    <t xml:space="preserve">Deckungsbeitrag / Jahr (vor zentralen Firmenkosten)</t>
  </si>
  <si>
    <t xml:space="preserve">Amortisation (Jahre)</t>
  </si>
  <si>
    <t xml:space="preserve">Investition je Kunde</t>
  </si>
  <si>
    <t xml:space="preserve">Buchungsquote-Modus laut Annahmen:</t>
  </si>
  <si>
    <t xml:space="preserve">Annahmen</t>
  </si>
  <si>
    <t xml:space="preserve">Gelbe Felder ändern – alle Blätter rechnen neu.</t>
  </si>
  <si>
    <t xml:space="preserve">Annahme</t>
  </si>
  <si>
    <t xml:space="preserve">Wert</t>
  </si>
  <si>
    <t xml:space="preserve">Einheit / Quelle</t>
  </si>
  <si>
    <t xml:space="preserve">NETZ-REGELN</t>
  </si>
  <si>
    <t xml:space="preserve">Parzellen je Gateway</t>
  </si>
  <si>
    <t xml:space="preserve">Ihre Vorgabe</t>
  </si>
  <si>
    <t xml:space="preserve">Gateways je Standort (Richtwert für die Prüfung)</t>
  </si>
  <si>
    <t xml:space="preserve">darüber Warnung</t>
  </si>
  <si>
    <t xml:space="preserve">Standort-Vorschlag verwenden, wo keine eigene Wahl (1 = ja, 0 = jede Sparte eigenständig)</t>
  </si>
  <si>
    <t xml:space="preserve">Vorschlag: Glasfaser zur nächsten Sparte bis 1,5 km, max. 10 Gateways</t>
  </si>
  <si>
    <t xml:space="preserve">Umwegfaktor Glasfaser (Trasse statt Luftlinie)</t>
  </si>
  <si>
    <t xml:space="preserve">Kapazität eines Internet-Anschlusses</t>
  </si>
  <si>
    <t xml:space="preserve">Mbit/s</t>
  </si>
  <si>
    <t xml:space="preserve">Überbuchungsfaktor</t>
  </si>
  <si>
    <t xml:space="preserve">1:x, wie Kalkulation</t>
  </si>
  <si>
    <t xml:space="preserve">Ø gebuchte Bandbreite je Kunde</t>
  </si>
  <si>
    <t xml:space="preserve">Betrachtungszeitraum für Vergleiche</t>
  </si>
  <si>
    <t xml:space="preserve">Jahre</t>
  </si>
  <si>
    <t xml:space="preserve">PREISE (netto) – aus Kalkulation_Sparten_WLAN.xlsx, Blatt „Preise“</t>
  </si>
  <si>
    <t xml:space="preserve">Gateway (UniFi Cloud Gateway Fiber)</t>
  </si>
  <si>
    <t xml:space="preserve">Stück · UI Store</t>
  </si>
  <si>
    <t xml:space="preserve">UniFi Switch Aggregation (8× SFP+)</t>
  </si>
  <si>
    <t xml:space="preserve">Stück · je 8 Anschlüsse</t>
  </si>
  <si>
    <t xml:space="preserve">DAC-Kabel 10G (je Gateway)</t>
  </si>
  <si>
    <t xml:space="preserve">Stück</t>
  </si>
  <si>
    <t xml:space="preserve">Außenschrank Glasfaser (Standort)</t>
  </si>
  <si>
    <t xml:space="preserve">Stück · Schätzung</t>
  </si>
  <si>
    <t xml:space="preserve">USV + Überspannungsschutz Standort</t>
  </si>
  <si>
    <t xml:space="preserve">SFP 1G Singlemode</t>
  </si>
  <si>
    <t xml:space="preserve">Stück · fiber24</t>
  </si>
  <si>
    <t xml:space="preserve">UniFi Switch Flex 2.5G PoE</t>
  </si>
  <si>
    <t xml:space="preserve">Netzteil Flex</t>
  </si>
  <si>
    <t xml:space="preserve">Hutschienen-Halter</t>
  </si>
  <si>
    <t xml:space="preserve">Lüfter mit Thermostat</t>
  </si>
  <si>
    <t xml:space="preserve">Mini-Spleißbox LC</t>
  </si>
  <si>
    <t xml:space="preserve">Strom-Säule (Leergehäuse)</t>
  </si>
  <si>
    <t xml:space="preserve">Überspannungsschutz + LS/FI Säule</t>
  </si>
  <si>
    <t xml:space="preserve">Ethernet Surge Protection (je Kabelende)</t>
  </si>
  <si>
    <t xml:space="preserve">UniFi U7 Pro Outdoor</t>
  </si>
  <si>
    <t xml:space="preserve">Kameramast 5 m verzinkt</t>
  </si>
  <si>
    <t xml:space="preserve">Stück · geo-technik.de</t>
  </si>
  <si>
    <t xml:space="preserve">Mastfundament / Erdmontage</t>
  </si>
  <si>
    <t xml:space="preserve">Glasfaser (Röhrchen + Mikrokabel)</t>
  </si>
  <si>
    <t xml:space="preserve">€/m · Schätzung</t>
  </si>
  <si>
    <t xml:space="preserve">Erdkabel Cat 7</t>
  </si>
  <si>
    <t xml:space="preserve">Tiefbau (Graben/Trasse)</t>
  </si>
  <si>
    <t xml:space="preserve">€/m · nicht angesetzt – bei Bedarf eintragen</t>
  </si>
  <si>
    <t xml:space="preserve">Montage Standort (Schrank, Gateways, Inbetriebnahme)</t>
  </si>
  <si>
    <t xml:space="preserve">pauschal</t>
  </si>
  <si>
    <t xml:space="preserve">Montage je Mast</t>
  </si>
  <si>
    <t xml:space="preserve">Montage je Glasfaser-Zuleitung (Spleißen, Einmessen)</t>
  </si>
  <si>
    <t xml:space="preserve">je Zuleitung · Schätzung</t>
  </si>
  <si>
    <t xml:space="preserve">STEUER</t>
  </si>
  <si>
    <t xml:space="preserve">Kleinunternehmer (1 = ja, 0 = Regelbesteuerung)</t>
  </si>
  <si>
    <t xml:space="preserve">wie Kalkulation</t>
  </si>
  <si>
    <t xml:space="preserve">Umsatzsteuersatz</t>
  </si>
  <si>
    <t xml:space="preserve">Faktor Einkauf (ohne Vorsteuerabzug = brutto)</t>
  </si>
  <si>
    <t xml:space="preserve">berechnet</t>
  </si>
  <si>
    <t xml:space="preserve">MENGEN IN DER SPARTE (kalibriert an KGV Buchenweg: 86 Parzellen, 49.614 m² → 24 APs, 11 Masten, 6 mit Technik)</t>
  </si>
  <si>
    <t xml:space="preserve">Parzellen je Access Point</t>
  </si>
  <si>
    <t xml:space="preserve">Buchenweg: 86 ÷ 24</t>
  </si>
  <si>
    <t xml:space="preserve">Access Points je Mast</t>
  </si>
  <si>
    <t xml:space="preserve">Buchenweg: 24 ÷ 11</t>
  </si>
  <si>
    <t xml:space="preserve">Anteil Masten mit Technik (Switch in der Säule)</t>
  </si>
  <si>
    <t xml:space="preserve">Buchenweg: 6 von 11</t>
  </si>
  <si>
    <t xml:space="preserve">Leitungsweg in der Sparte (m = Faktor × √Fläche m²)</t>
  </si>
  <si>
    <t xml:space="preserve">Buchenweg: 625 m ÷ √49.614</t>
  </si>
  <si>
    <t xml:space="preserve">Glasfaser m je m Leitungsweg</t>
  </si>
  <si>
    <t xml:space="preserve">Buchenweg: 1.039 ÷ 625</t>
  </si>
  <si>
    <t xml:space="preserve">Kupferkabel m je m Leitungsweg</t>
  </si>
  <si>
    <t xml:space="preserve">Buchenweg: 663 ÷ 625</t>
  </si>
  <si>
    <t xml:space="preserve">Kupferkabel (2 Überspannungsschutz) je AP</t>
  </si>
  <si>
    <t xml:space="preserve">Buchenweg: 10 ÷ 24</t>
  </si>
  <si>
    <t xml:space="preserve">Anschlüsse je Aggregation-Switch</t>
  </si>
  <si>
    <t xml:space="preserve">Gateways + Glasfaserstrecken</t>
  </si>
  <si>
    <t xml:space="preserve">LAUFENDE KOSTEN UND ERLÖS</t>
  </si>
  <si>
    <t xml:space="preserve">Internet-Anschluss je Monat</t>
  </si>
  <si>
    <t xml:space="preserve">€ netto · Kalkulation</t>
  </si>
  <si>
    <t xml:space="preserve">Strom Standort (Schrank, Switch) je Jahr</t>
  </si>
  <si>
    <t xml:space="preserve">€ · Kalkulation</t>
  </si>
  <si>
    <t xml:space="preserve">Strom je Gateway und Jahr</t>
  </si>
  <si>
    <t xml:space="preserve">€ · Schätzung (ca. 10 W)</t>
  </si>
  <si>
    <t xml:space="preserve">Strom je Mast mit Technik und Jahr</t>
  </si>
  <si>
    <t xml:space="preserve">Wartung/Ersatzteile je Jahr (Anteil der Investition)</t>
  </si>
  <si>
    <t xml:space="preserve">Kalkulation</t>
  </si>
  <si>
    <t xml:space="preserve">Zahlungsabwicklung (Anteil vom Umsatz)</t>
  </si>
  <si>
    <t xml:space="preserve">Ø Tarifpreis je Kunde und Jahr</t>
  </si>
  <si>
    <t xml:space="preserve">€ · Basis-Tarif</t>
  </si>
  <si>
    <t xml:space="preserve">BUCHUNGSQUOTE – einstellbar</t>
  </si>
  <si>
    <t xml:space="preserve">Modus: 1 = aus Alter und Leerstand, 2 = feste Quote für alle</t>
  </si>
  <si>
    <t xml:space="preserve">„Quote manuell“ je Sparte gilt immer vorrangig</t>
  </si>
  <si>
    <t xml:space="preserve">Feste Buchungsquote (Modus 2)</t>
  </si>
  <si>
    <t xml:space="preserve">Anteil aller Parzellen</t>
  </si>
  <si>
    <t xml:space="preserve">Modus 1 rechnet mit: 1 = heute, 2 = in 5 Jahren</t>
  </si>
  <si>
    <t xml:space="preserve">Buchungsneigung Pächter bis 30 Jahre</t>
  </si>
  <si>
    <t xml:space="preserve">Buchungsneigung Pächter 30–50 Jahre</t>
  </si>
  <si>
    <t xml:space="preserve">Buchungsneigung Pächter 50–70 Jahre</t>
  </si>
  <si>
    <t xml:space="preserve">Buchungsneigung Pächter 70–90 Jahre</t>
  </si>
  <si>
    <t xml:space="preserve">Annahme · Destatis 2025: 65–74 J. ca. 10 % offline</t>
  </si>
  <si>
    <t xml:space="preserve">Buchungsneigung Pächter ab 90 Jahre</t>
  </si>
  <si>
    <t xml:space="preserve">Faktor Entwicklungsstufe A</t>
  </si>
  <si>
    <t xml:space="preserve">Stabil</t>
  </si>
  <si>
    <t xml:space="preserve">Faktor Entwicklungsstufe B</t>
  </si>
  <si>
    <t xml:space="preserve">Beobachtung</t>
  </si>
  <si>
    <t xml:space="preserve">Faktor Entwicklungsstufe C</t>
  </si>
  <si>
    <t xml:space="preserve">Qualifizierung – Unsicherheit</t>
  </si>
  <si>
    <t xml:space="preserve">Faktor Entwicklungsstufe D</t>
  </si>
  <si>
    <t xml:space="preserve">Planungskonflikt – Teilflächen fallen weg</t>
  </si>
  <si>
    <t xml:space="preserve">PROGNOSE IN 5 JAHREN (Modus 1, Szenario 2)</t>
  </si>
  <si>
    <t xml:space="preserve">Pachtaufgabe in 5 Jahren, Pächter bis 30 Jahre</t>
  </si>
  <si>
    <t xml:space="preserve">Pachtaufgabe in 5 Jahren, Pächter 30–50 Jahre</t>
  </si>
  <si>
    <t xml:space="preserve">Pachtaufgabe in 5 Jahren, Pächter 50–70 Jahre</t>
  </si>
  <si>
    <t xml:space="preserve">Pachtaufgabe in 5 Jahren, Pächter 70–90 Jahre</t>
  </si>
  <si>
    <t xml:space="preserve">Pachtaufgabe in 5 Jahren, Pächter ab 90 Jahre</t>
  </si>
  <si>
    <t xml:space="preserve">Nachbesetzung frei werdender Parzellen (Grundwert)</t>
  </si>
  <si>
    <t xml:space="preserve">Abschlag je Prozentpunkt heutiger Leerstand</t>
  </si>
  <si>
    <t xml:space="preserve">10 % Leerstand → 70 % − 20 % = 50 %</t>
  </si>
  <si>
    <t xml:space="preserve">Buchungsneigung neuer Pächter</t>
  </si>
  <si>
    <t xml:space="preserve">wie 30–50 Jahre</t>
  </si>
  <si>
    <t xml:space="preserve">Anlagen – Daten aus Steckbriefen und Karte, Ihre Planung in den gelben Spalten</t>
  </si>
  <si>
    <t xml:space="preserve">Blau = Daten aus den Unterlagen (änderbar) · Gelb = Gateway-Standort, Zuleitung, Reihenfolge, Quote und genauere Mengen</t>
  </si>
  <si>
    <t xml:space="preserve">Nr.</t>
  </si>
  <si>
    <t xml:space="preserve">Kleingartenanlage</t>
  </si>
  <si>
    <t xml:space="preserve">Adresse</t>
  </si>
  <si>
    <t xml:space="preserve">Entwicklungsstufe</t>
  </si>
  <si>
    <t xml:space="preserve">Eigentum</t>
  </si>
  <si>
    <t xml:space="preserve">Leerstand (Parzellen)</t>
  </si>
  <si>
    <t xml:space="preserve">Fläche m²</t>
  </si>
  <si>
    <t xml:space="preserve">Pächter bis 30</t>
  </si>
  <si>
    <t xml:space="preserve">30–50</t>
  </si>
  <si>
    <t xml:space="preserve">50–70</t>
  </si>
  <si>
    <t xml:space="preserve">70–90</t>
  </si>
  <si>
    <t xml:space="preserve">ab 90</t>
  </si>
  <si>
    <t xml:space="preserve">Lage x (km)</t>
  </si>
  <si>
    <t xml:space="preserve">Lage y (km)</t>
  </si>
  <si>
    <t xml:space="preserve">Parzellen lt. Konzept-Tabelle</t>
  </si>
  <si>
    <t xml:space="preserve">Standort (Vorschlag)</t>
  </si>
  <si>
    <t xml:space="preserve">Zuleitung (Vorschlag)</t>
  </si>
  <si>
    <t xml:space="preserve">Gateway-Standort (eigene Wahl)</t>
  </si>
  <si>
    <t xml:space="preserve">Zuleitung von (eigene Wahl)</t>
  </si>
  <si>
    <t xml:space="preserve">Reihenfolge</t>
  </si>
  <si>
    <t xml:space="preserve">Entfernung manuell (m)</t>
  </si>
  <si>
    <t xml:space="preserve">Quote manuell</t>
  </si>
  <si>
    <t xml:space="preserve">APs manuell</t>
  </si>
  <si>
    <t xml:space="preserve">Masten manuell</t>
  </si>
  <si>
    <t xml:space="preserve">Leitungsweg m manuell</t>
  </si>
  <si>
    <t xml:space="preserve">Kürzel</t>
  </si>
  <si>
    <t xml:space="preserve">VLAN-Block (eigene Wahl)</t>
  </si>
  <si>
    <t xml:space="preserve">1. März</t>
  </si>
  <si>
    <t xml:space="preserve">Willibald-Alexis-Straße 38</t>
  </si>
  <si>
    <t xml:space="preserve">B – Beobachtung</t>
  </si>
  <si>
    <t xml:space="preserve">Stadt BRB</t>
  </si>
  <si>
    <t xml:space="preserve">MAERZ</t>
  </si>
  <si>
    <t xml:space="preserve">Abendfrieden</t>
  </si>
  <si>
    <t xml:space="preserve">Ziesarer Landstraße 24</t>
  </si>
  <si>
    <t xml:space="preserve">C – Qualifizierung</t>
  </si>
  <si>
    <t xml:space="preserve">Stadt / Kirche</t>
  </si>
  <si>
    <t xml:space="preserve">ABFRI</t>
  </si>
  <si>
    <t xml:space="preserve">Abendrot</t>
  </si>
  <si>
    <t xml:space="preserve">Am Gallberg 3</t>
  </si>
  <si>
    <t xml:space="preserve">A – Stabil</t>
  </si>
  <si>
    <t xml:space="preserve">Stadt / privat</t>
  </si>
  <si>
    <t xml:space="preserve">ABROT</t>
  </si>
  <si>
    <t xml:space="preserve">Abendruh</t>
  </si>
  <si>
    <t xml:space="preserve">Mahlerstraße 21</t>
  </si>
  <si>
    <t xml:space="preserve">ABRUH</t>
  </si>
  <si>
    <t xml:space="preserve">Abendsonne</t>
  </si>
  <si>
    <t xml:space="preserve">Bayernstraße 9a</t>
  </si>
  <si>
    <t xml:space="preserve">Privat</t>
  </si>
  <si>
    <t xml:space="preserve">ABSON</t>
  </si>
  <si>
    <t xml:space="preserve">Altstadt Forst</t>
  </si>
  <si>
    <t xml:space="preserve">Rathenower Landstraße 3</t>
  </si>
  <si>
    <t xml:space="preserve">ALTFO</t>
  </si>
  <si>
    <t xml:space="preserve">Am Beetzseeufer</t>
  </si>
  <si>
    <t xml:space="preserve">Beetzseeufer 8</t>
  </si>
  <si>
    <t xml:space="preserve">BEETZ</t>
  </si>
  <si>
    <t xml:space="preserve">Am Büttelhandfassgraben</t>
  </si>
  <si>
    <t xml:space="preserve">Am Bittelhandfassgraben 14</t>
  </si>
  <si>
    <t xml:space="preserve">BUETT</t>
  </si>
  <si>
    <t xml:space="preserve">Am Eichenweg</t>
  </si>
  <si>
    <t xml:space="preserve">Ziesarer Landstraße 1</t>
  </si>
  <si>
    <t xml:space="preserve">EICHW</t>
  </si>
  <si>
    <t xml:space="preserve">Am Jakobsgraben</t>
  </si>
  <si>
    <t xml:space="preserve">Otto-Gartz-Straße 10a</t>
  </si>
  <si>
    <t xml:space="preserve">D – Planungskonflikt</t>
  </si>
  <si>
    <t xml:space="preserve">JAKGR</t>
  </si>
  <si>
    <t xml:space="preserve">Am Schafdamm</t>
  </si>
  <si>
    <t xml:space="preserve">Schafdamm 3</t>
  </si>
  <si>
    <t xml:space="preserve">SCHAF</t>
  </si>
  <si>
    <t xml:space="preserve">Am Schlangenpfad</t>
  </si>
  <si>
    <t xml:space="preserve">Schlangenpfad 21</t>
  </si>
  <si>
    <t xml:space="preserve">SCHLA</t>
  </si>
  <si>
    <t xml:space="preserve">Am Waldesrand</t>
  </si>
  <si>
    <t xml:space="preserve">Schafdamm 1</t>
  </si>
  <si>
    <t xml:space="preserve">WALDR</t>
  </si>
  <si>
    <t xml:space="preserve">An der Plane I</t>
  </si>
  <si>
    <t xml:space="preserve">Planeweg 1</t>
  </si>
  <si>
    <t xml:space="preserve">Kirche</t>
  </si>
  <si>
    <t xml:space="preserve">PLAN1</t>
  </si>
  <si>
    <t xml:space="preserve">Bergeshöh</t>
  </si>
  <si>
    <t xml:space="preserve">Triglafweg 20</t>
  </si>
  <si>
    <t xml:space="preserve">BERGH</t>
  </si>
  <si>
    <t xml:space="preserve">Bergfrieden</t>
  </si>
  <si>
    <t xml:space="preserve">Wusterwitzer Str. 71</t>
  </si>
  <si>
    <t xml:space="preserve">BERGF</t>
  </si>
  <si>
    <t xml:space="preserve">Birkenwäldchen</t>
  </si>
  <si>
    <t xml:space="preserve">Wittstocker Gäßchen 36</t>
  </si>
  <si>
    <t xml:space="preserve">BIRKE</t>
  </si>
  <si>
    <t xml:space="preserve">BKV Pfefferland</t>
  </si>
  <si>
    <t xml:space="preserve">Pfefferlander Weg 11</t>
  </si>
  <si>
    <t xml:space="preserve">PFEFF</t>
  </si>
  <si>
    <t xml:space="preserve">Brielower Dreieck</t>
  </si>
  <si>
    <t xml:space="preserve">Am Industriegelande 1</t>
  </si>
  <si>
    <t xml:space="preserve">BRIDR</t>
  </si>
  <si>
    <t xml:space="preserve">Buchenweg</t>
  </si>
  <si>
    <t xml:space="preserve">Buchenweg 77</t>
  </si>
  <si>
    <t xml:space="preserve">BW</t>
  </si>
  <si>
    <t xml:space="preserve">Butterlake</t>
  </si>
  <si>
    <t xml:space="preserve">Brielower Aue 30</t>
  </si>
  <si>
    <t xml:space="preserve">BUTTL</t>
  </si>
  <si>
    <t xml:space="preserve">Eichhorstweg</t>
  </si>
  <si>
    <t xml:space="preserve">Eichhorstweg 15</t>
  </si>
  <si>
    <t xml:space="preserve">EICHH</t>
  </si>
  <si>
    <t xml:space="preserve">Eigener Fleiß</t>
  </si>
  <si>
    <t xml:space="preserve">Hannoversche Str. 38</t>
  </si>
  <si>
    <t xml:space="preserve">FLEIS</t>
  </si>
  <si>
    <t xml:space="preserve">Einheit</t>
  </si>
  <si>
    <t xml:space="preserve">Thuringer Str. 18</t>
  </si>
  <si>
    <t xml:space="preserve">EINH</t>
  </si>
  <si>
    <t xml:space="preserve">Einigkeit</t>
  </si>
  <si>
    <t xml:space="preserve">Klingenbergstr. 2b</t>
  </si>
  <si>
    <t xml:space="preserve">EINIG</t>
  </si>
  <si>
    <t xml:space="preserve">Eintracht I</t>
  </si>
  <si>
    <t xml:space="preserve">Franz-Ziegler-Str. 29b</t>
  </si>
  <si>
    <t xml:space="preserve">EINT1</t>
  </si>
  <si>
    <t xml:space="preserve">Eintracht II</t>
  </si>
  <si>
    <t xml:space="preserve">Gottiner Landstr. 17</t>
  </si>
  <si>
    <t xml:space="preserve">k. A.</t>
  </si>
  <si>
    <t xml:space="preserve">EINT2</t>
  </si>
  <si>
    <t xml:space="preserve">Erdenglück</t>
  </si>
  <si>
    <t xml:space="preserve">Johannisburger Anger 26</t>
  </si>
  <si>
    <t xml:space="preserve">ERDGL</t>
  </si>
  <si>
    <t xml:space="preserve">Erntesegen</t>
  </si>
  <si>
    <t xml:space="preserve">Brahmsstr. 12b</t>
  </si>
  <si>
    <t xml:space="preserve">ERNTE</t>
  </si>
  <si>
    <t xml:space="preserve">Feierabend</t>
  </si>
  <si>
    <t xml:space="preserve">Beethovenstr. 31</t>
  </si>
  <si>
    <t xml:space="preserve">FEIER</t>
  </si>
  <si>
    <t xml:space="preserve">Feldstraße</t>
  </si>
  <si>
    <t xml:space="preserve">Feldstraße 1c</t>
  </si>
  <si>
    <t xml:space="preserve">FELD</t>
  </si>
  <si>
    <t xml:space="preserve">Finkenhain</t>
  </si>
  <si>
    <t xml:space="preserve">Mendelssohnstr. 13</t>
  </si>
  <si>
    <t xml:space="preserve">FINK</t>
  </si>
  <si>
    <t xml:space="preserve">Fohrder Landstraße</t>
  </si>
  <si>
    <t xml:space="preserve">Brielower Aue 33</t>
  </si>
  <si>
    <t xml:space="preserve">FOHRD</t>
  </si>
  <si>
    <t xml:space="preserve">Freiheit</t>
  </si>
  <si>
    <t xml:space="preserve">Feldstr. 1b</t>
  </si>
  <si>
    <t xml:space="preserve">FREIH</t>
  </si>
  <si>
    <t xml:space="preserve">Freizeit</t>
  </si>
  <si>
    <t xml:space="preserve">Ziesarer Landstr. 64</t>
  </si>
  <si>
    <t xml:space="preserve">FREIZ</t>
  </si>
  <si>
    <t xml:space="preserve">Friedland</t>
  </si>
  <si>
    <t xml:space="preserve">Klingenbergstr. 19</t>
  </si>
  <si>
    <t xml:space="preserve">FRIED</t>
  </si>
  <si>
    <t xml:space="preserve">Frisch Auf</t>
  </si>
  <si>
    <t xml:space="preserve">Klingenbergstr. 4</t>
  </si>
  <si>
    <t xml:space="preserve">FRISA</t>
  </si>
  <si>
    <t xml:space="preserve">Frohsinn</t>
  </si>
  <si>
    <t xml:space="preserve">Ziesarer Landstr. 3</t>
  </si>
  <si>
    <t xml:space="preserve">FROH</t>
  </si>
  <si>
    <t xml:space="preserve">Gartenfreunde Brielower Aue</t>
  </si>
  <si>
    <t xml:space="preserve">Brielower Aue 47</t>
  </si>
  <si>
    <t xml:space="preserve">BRAUE</t>
  </si>
  <si>
    <t xml:space="preserve">Glück Auf</t>
  </si>
  <si>
    <t xml:space="preserve">Ziesarer Landstr. 117</t>
  </si>
  <si>
    <t xml:space="preserve">GLAUF</t>
  </si>
  <si>
    <t xml:space="preserve">Glück im Winkel</t>
  </si>
  <si>
    <t xml:space="preserve">Eichhorstweg 3</t>
  </si>
  <si>
    <t xml:space="preserve">GLWIN</t>
  </si>
  <si>
    <t xml:space="preserve">Grüne Ecke</t>
  </si>
  <si>
    <t xml:space="preserve">Pfefferlander Weg 48</t>
  </si>
  <si>
    <t xml:space="preserve">GRECK</t>
  </si>
  <si>
    <t xml:space="preserve">Grüner Kranz</t>
  </si>
  <si>
    <t xml:space="preserve">GutsMuthsstr. 21a</t>
  </si>
  <si>
    <t xml:space="preserve">GRKRZ</t>
  </si>
  <si>
    <t xml:space="preserve">Grünes Heim</t>
  </si>
  <si>
    <t xml:space="preserve">Ferdinand-Lassalle-Str. 12</t>
  </si>
  <si>
    <t xml:space="preserve">GRHEI</t>
  </si>
  <si>
    <t xml:space="preserve">Gut Wetter</t>
  </si>
  <si>
    <t xml:space="preserve">Fohrder Landstr. 9</t>
  </si>
  <si>
    <t xml:space="preserve">GUTWE</t>
  </si>
  <si>
    <t xml:space="preserve">Handwerker</t>
  </si>
  <si>
    <t xml:space="preserve">Planeweg 1b</t>
  </si>
  <si>
    <t xml:space="preserve">HANDW</t>
  </si>
  <si>
    <t xml:space="preserve">Harmonie</t>
  </si>
  <si>
    <t xml:space="preserve">August-Bebel-Str. 19</t>
  </si>
  <si>
    <t xml:space="preserve">HARMO</t>
  </si>
  <si>
    <t xml:space="preserve">Heidekrug</t>
  </si>
  <si>
    <t xml:space="preserve">Plauer Landstr. 42</t>
  </si>
  <si>
    <t xml:space="preserve">HEIDE</t>
  </si>
  <si>
    <t xml:space="preserve">Helgoland</t>
  </si>
  <si>
    <t xml:space="preserve">Grune Aue 31</t>
  </si>
  <si>
    <t xml:space="preserve">HELGO</t>
  </si>
  <si>
    <t xml:space="preserve">Hoffnung</t>
  </si>
  <si>
    <t xml:space="preserve">Baebenrothufer 7</t>
  </si>
  <si>
    <t xml:space="preserve">HOFFN</t>
  </si>
  <si>
    <t xml:space="preserve">Holland</t>
  </si>
  <si>
    <t xml:space="preserve">Klingenbergstr. 2</t>
  </si>
  <si>
    <t xml:space="preserve">HOLL</t>
  </si>
  <si>
    <t xml:space="preserve">Im Mittelbruch I</t>
  </si>
  <si>
    <t xml:space="preserve">Krakauer Str. 28</t>
  </si>
  <si>
    <t xml:space="preserve">MBR1</t>
  </si>
  <si>
    <t xml:space="preserve">Im Mittelbruch II</t>
  </si>
  <si>
    <t xml:space="preserve">Krakauer Str. 29</t>
  </si>
  <si>
    <t xml:space="preserve">MBR2</t>
  </si>
  <si>
    <t xml:space="preserve">Immergrün</t>
  </si>
  <si>
    <t xml:space="preserve">Gordenallee 169</t>
  </si>
  <si>
    <t xml:space="preserve">IMMER</t>
  </si>
  <si>
    <t xml:space="preserve">Jakobswerder</t>
  </si>
  <si>
    <t xml:space="preserve">Grune Aue 48</t>
  </si>
  <si>
    <t xml:space="preserve">JAKWE</t>
  </si>
  <si>
    <t xml:space="preserve">Kammgarn</t>
  </si>
  <si>
    <t xml:space="preserve">Klingenbergstr. 2a</t>
  </si>
  <si>
    <t xml:space="preserve">KAMM</t>
  </si>
  <si>
    <t xml:space="preserve">Kirchmöser-Dorf</t>
  </si>
  <si>
    <t xml:space="preserve">Bahnhofstr. 3</t>
  </si>
  <si>
    <t xml:space="preserve">KMDOR</t>
  </si>
  <si>
    <t xml:space="preserve">Kirchmöser-Lehmgarten</t>
  </si>
  <si>
    <t xml:space="preserve">Uferstr. 71b</t>
  </si>
  <si>
    <t xml:space="preserve">KMLEH</t>
  </si>
  <si>
    <t xml:space="preserve">Kirchmöser-Ost</t>
  </si>
  <si>
    <t xml:space="preserve">Kurze Str. 17</t>
  </si>
  <si>
    <t xml:space="preserve">KMOST</t>
  </si>
  <si>
    <t xml:space="preserve">Landheim</t>
  </si>
  <si>
    <t xml:space="preserve">Wilhelmsdorfer Landstr. 65</t>
  </si>
  <si>
    <t xml:space="preserve">LANDH</t>
  </si>
  <si>
    <t xml:space="preserve">Märkische Aue</t>
  </si>
  <si>
    <t xml:space="preserve">Krakauer Str. 27</t>
  </si>
  <si>
    <t xml:space="preserve">MAERK</t>
  </si>
  <si>
    <t xml:space="preserve">Mittelweg</t>
  </si>
  <si>
    <t xml:space="preserve">Buchenweg 63a</t>
  </si>
  <si>
    <t xml:space="preserve">MITTW</t>
  </si>
  <si>
    <t xml:space="preserve">Morgenrot</t>
  </si>
  <si>
    <t xml:space="preserve">Ziesarer Landstr. 66</t>
  </si>
  <si>
    <t xml:space="preserve">MORGE</t>
  </si>
  <si>
    <t xml:space="preserve">Neues Leben</t>
  </si>
  <si>
    <t xml:space="preserve">Koppehlstr. 7</t>
  </si>
  <si>
    <t xml:space="preserve">NEUL</t>
  </si>
  <si>
    <t xml:space="preserve">Neu-Sanssouci</t>
  </si>
  <si>
    <t xml:space="preserve">Grune Aue 46</t>
  </si>
  <si>
    <t xml:space="preserve">NSANS</t>
  </si>
  <si>
    <t xml:space="preserve">Oase</t>
  </si>
  <si>
    <t xml:space="preserve">Brahmsstr. 14b</t>
  </si>
  <si>
    <t xml:space="preserve">OASE</t>
  </si>
  <si>
    <t xml:space="preserve">Pferdewiese</t>
  </si>
  <si>
    <t xml:space="preserve">Seestr. 50</t>
  </si>
  <si>
    <t xml:space="preserve">PFERD</t>
  </si>
  <si>
    <t xml:space="preserve">Plane II</t>
  </si>
  <si>
    <t xml:space="preserve">Planeweg 4&amp;</t>
  </si>
  <si>
    <t xml:space="preserve">PLAN2</t>
  </si>
  <si>
    <t xml:space="preserve">Platz der Einheit</t>
  </si>
  <si>
    <t xml:space="preserve">Platz der Einheit 19</t>
  </si>
  <si>
    <t xml:space="preserve">PLEIN</t>
  </si>
  <si>
    <t xml:space="preserve">Sandfurth-Oase</t>
  </si>
  <si>
    <t xml:space="preserve">Sandfurthweg 27</t>
  </si>
  <si>
    <t xml:space="preserve">SFOAS</t>
  </si>
  <si>
    <t xml:space="preserve">Sanssouci</t>
  </si>
  <si>
    <t xml:space="preserve">Wilhelmsdorfer Landstr. 55</t>
  </si>
  <si>
    <t xml:space="preserve">SANS</t>
  </si>
  <si>
    <t xml:space="preserve">Sommerfreude I</t>
  </si>
  <si>
    <t xml:space="preserve">Eichhorstweg 9</t>
  </si>
  <si>
    <t xml:space="preserve">SOMF1</t>
  </si>
  <si>
    <t xml:space="preserve">Sommerfreude II</t>
  </si>
  <si>
    <t xml:space="preserve">Pfefferlander Weg 9</t>
  </si>
  <si>
    <t xml:space="preserve">SOMF2</t>
  </si>
  <si>
    <t xml:space="preserve">Sonnenrot</t>
  </si>
  <si>
    <t xml:space="preserve">Ziesarer Landstr. 68</t>
  </si>
  <si>
    <t xml:space="preserve">SOROT</t>
  </si>
  <si>
    <t xml:space="preserve">Sonnenschein</t>
  </si>
  <si>
    <t xml:space="preserve">Mahlerstr. 22</t>
  </si>
  <si>
    <t xml:space="preserve">SOSCH</t>
  </si>
  <si>
    <t xml:space="preserve">Sonnenwinkel</t>
  </si>
  <si>
    <t xml:space="preserve">Buchenweg 65a</t>
  </si>
  <si>
    <t xml:space="preserve">SOWIN</t>
  </si>
  <si>
    <t xml:space="preserve">Sorgenfrei I</t>
  </si>
  <si>
    <t xml:space="preserve">Ziesarer Landstr. 76</t>
  </si>
  <si>
    <t xml:space="preserve">SORG1</t>
  </si>
  <si>
    <t xml:space="preserve">Sorgenfrei II</t>
  </si>
  <si>
    <t xml:space="preserve">Buchenweg 62</t>
  </si>
  <si>
    <t xml:space="preserve">SORG2</t>
  </si>
  <si>
    <t xml:space="preserve">Sportpark</t>
  </si>
  <si>
    <t xml:space="preserve">Wilhelmsdorfer Landstr. 90</t>
  </si>
  <si>
    <t xml:space="preserve">SPORT</t>
  </si>
  <si>
    <t xml:space="preserve">Stiller Winkel</t>
  </si>
  <si>
    <t xml:space="preserve">Pfefferlander Weg 50</t>
  </si>
  <si>
    <t xml:space="preserve">STILL</t>
  </si>
  <si>
    <t xml:space="preserve">Traumland</t>
  </si>
  <si>
    <t xml:space="preserve">Fritze-Bollmann-Weg 82</t>
  </si>
  <si>
    <t xml:space="preserve">TRAUM</t>
  </si>
  <si>
    <t xml:space="preserve">Waldfrieden</t>
  </si>
  <si>
    <t xml:space="preserve">Weberstr. 59</t>
  </si>
  <si>
    <t xml:space="preserve">WALDF</t>
  </si>
  <si>
    <t xml:space="preserve">Weinmeisterweg</t>
  </si>
  <si>
    <t xml:space="preserve">Weinmeisterweg 10</t>
  </si>
  <si>
    <t xml:space="preserve">WEINM</t>
  </si>
  <si>
    <t xml:space="preserve">Wittstocker Gäßchen</t>
  </si>
  <si>
    <t xml:space="preserve">Wittstocker Gäßchen 15</t>
  </si>
  <si>
    <t xml:space="preserve">WITTS</t>
  </si>
  <si>
    <t xml:space="preserve">Zukunft</t>
  </si>
  <si>
    <t xml:space="preserve">Hagelberger Str. 3</t>
  </si>
  <si>
    <t xml:space="preserve">ZUKUN</t>
  </si>
  <si>
    <t xml:space="preserve">Zum Burgweg</t>
  </si>
  <si>
    <t xml:space="preserve">Burgweg 4a</t>
  </si>
  <si>
    <t xml:space="preserve">BURGW</t>
  </si>
  <si>
    <t xml:space="preserve">Zum kühlen Grunde</t>
  </si>
  <si>
    <t xml:space="preserve">Grillendamm 8</t>
  </si>
  <si>
    <t xml:space="preserve">KUEHL</t>
  </si>
  <si>
    <t xml:space="preserve">Zur Insel</t>
  </si>
  <si>
    <t xml:space="preserve">Domkietz 8a</t>
  </si>
  <si>
    <t xml:space="preserve">INSEL</t>
  </si>
  <si>
    <t xml:space="preserve">Rot: Parzellenzahl in den Konzept-Tabellen 5–8 weicht vom Steckbrief ab (gerechnet wird mit dem Steckbrief, Summe 5.017 = Konzept S. 18).</t>
  </si>
  <si>
    <t xml:space="preserve">Lage: aus der Beschriftung der Übersichtskarte gemessen (10-km-Maßstab), Ursprung links unten, ca. ±300 m.</t>
  </si>
  <si>
    <t xml:space="preserve">Buchungsquote – berechnet aus Alter und Leerstand, fest oder je Sparte manuell</t>
  </si>
  <si>
    <t xml:space="preserve">Modus 1: Ø Buchungsneigung nach Alter × (1 − Leerstandsquote) × Faktor Entwicklungsstufe · Modus 2: feste Quote · „Quote manuell“ (Anlagen) hat Vorrang</t>
  </si>
  <si>
    <t xml:space="preserve">Leerstand</t>
  </si>
  <si>
    <t xml:space="preserve">Leerstands-quote</t>
  </si>
  <si>
    <t xml:space="preserve">Anteil bis 30</t>
  </si>
  <si>
    <t xml:space="preserve">Ø Buchungs-neigung</t>
  </si>
  <si>
    <t xml:space="preserve">Faktor Stufe</t>
  </si>
  <si>
    <t xml:space="preserve">Quote heute (Alter)</t>
  </si>
  <si>
    <t xml:space="preserve">Pachtaufgabe 5 J.</t>
  </si>
  <si>
    <t xml:space="preserve">Nachbe-setzung</t>
  </si>
  <si>
    <t xml:space="preserve">Leerstand in 5 J.</t>
  </si>
  <si>
    <t xml:space="preserve">Leerstands-quote 5 J.</t>
  </si>
  <si>
    <t xml:space="preserve">Neigung Bestand 5 J.</t>
  </si>
  <si>
    <t xml:space="preserve">Quote in 5 J. (Alter)</t>
  </si>
  <si>
    <t xml:space="preserve">Quote gewählt</t>
  </si>
  <si>
    <t xml:space="preserve">Herkunft</t>
  </si>
  <si>
    <t xml:space="preserve">Summe / Ø</t>
  </si>
  <si>
    <t xml:space="preserve">Netz – Gateway-Standort, Glasfaser-Zuleitung und Gateway-Belegung je Sparte</t>
  </si>
  <si>
    <t xml:space="preserve">Gateways eines Standorts werden in der Reihenfolge gefüllt (je 55 Parzellen) · Zuleitung von Sparte zu Sparte per Glasfaser</t>
  </si>
  <si>
    <t xml:space="preserve">Gateway-Standort (wirksam)</t>
  </si>
  <si>
    <t xml:space="preserve">Zuleitung von (wirksam)</t>
  </si>
  <si>
    <t xml:space="preserve">Rolle</t>
  </si>
  <si>
    <t xml:space="preserve">Entfernung km</t>
  </si>
  <si>
    <t xml:space="preserve">Glasfaser Zuleitung m</t>
  </si>
  <si>
    <t xml:space="preserve">Zuleitung €</t>
  </si>
  <si>
    <t xml:space="preserve">Unterverteiler €</t>
  </si>
  <si>
    <t xml:space="preserve">Sortierung</t>
  </si>
  <si>
    <t xml:space="preserve">Parzellen davor am Standort</t>
  </si>
  <si>
    <t xml:space="preserve">Gateway von</t>
  </si>
  <si>
    <t xml:space="preserve">Gateway bis</t>
  </si>
  <si>
    <t xml:space="preserve">versorgt durch</t>
  </si>
  <si>
    <t xml:space="preserve">Prüfung</t>
  </si>
  <si>
    <t xml:space="preserve">VLAN-Block</t>
  </si>
  <si>
    <t xml:space="preserve">VLAN Parzellen von</t>
  </si>
  <si>
    <t xml:space="preserve">VLAN Parzellen bis</t>
  </si>
  <si>
    <t xml:space="preserve">VLAN Vorstand</t>
  </si>
  <si>
    <t xml:space="preserve">VLAN Gäste</t>
  </si>
  <si>
    <t xml:space="preserve">VLAN Technik</t>
  </si>
  <si>
    <t xml:space="preserve">Subnetz Parzelle 1</t>
  </si>
  <si>
    <t xml:space="preserve">Prüfung VLAN</t>
  </si>
  <si>
    <t xml:space="preserve">Summe</t>
  </si>
  <si>
    <t xml:space="preserve">VLAN-Schema: Parzelle = 1000 + 200 × (VLAN-Block − 1) + Parzelle (letzte zwei Ziffern = Parzelle) · Vorstand 100 + Nr. · Gäste 200 + Nr. · Technik 300 + Nr. · Subnetz 10.&lt;Nr.&gt;.&lt;Parzelle&gt;.0/24 · eindeutig je Standort</t>
  </si>
  <si>
    <t xml:space="preserve">Investition – Technik in den Sparten (ohne Gateways und Standort, die stehen im Blatt „Standorte“)</t>
  </si>
  <si>
    <t xml:space="preserve">Mengen nach den Faustregeln in „Annahmen“ oder manuell aus „Anlagen“ · rechts der Vergleich „Sparte eigenständig“</t>
  </si>
  <si>
    <t xml:space="preserve">Access Points</t>
  </si>
  <si>
    <t xml:space="preserve">Masten</t>
  </si>
  <si>
    <t xml:space="preserve">Masten mit Technik</t>
  </si>
  <si>
    <t xml:space="preserve">Leitungsweg m</t>
  </si>
  <si>
    <t xml:space="preserve">Glasfaser m</t>
  </si>
  <si>
    <t xml:space="preserve">Kupfer m</t>
  </si>
  <si>
    <t xml:space="preserve">Kupferkabel</t>
  </si>
  <si>
    <t xml:space="preserve">Technik in Säulen €</t>
  </si>
  <si>
    <t xml:space="preserve">APs, Masten, Montage €</t>
  </si>
  <si>
    <t xml:space="preserve">Leitungen €</t>
  </si>
  <si>
    <t xml:space="preserve">Zuleitung + Unterverteiler €</t>
  </si>
  <si>
    <t xml:space="preserve">Investition Sparte (ohne Standort)</t>
  </si>
  <si>
    <t xml:space="preserve">laufend Sparte / Jahr</t>
  </si>
  <si>
    <t xml:space="preserve">Gateways eigenständig</t>
  </si>
  <si>
    <t xml:space="preserve">Investition eigenständig</t>
  </si>
  <si>
    <t xml:space="preserve">laufend eigenständig / Jahr</t>
  </si>
  <si>
    <t xml:space="preserve">Kontrolle: KGV Buchenweg eigenständig – Kalkulation Variante A ohne Tiefbau 27.597 € mit 1 Gateway; hier 2 Gateways (55 Parzellen je Gateway), also ca. 321 € mehr</t>
  </si>
  <si>
    <t xml:space="preserve">Standorte – Gateways, Internet-Anschluss und Kosten je Gateway-Standort</t>
  </si>
  <si>
    <t xml:space="preserve">Nur Zeilen von Sparten, die selbst Standort sind, sind gefüllt · alle Gateways eines Standorts teilen sich den Internet-Anschluss</t>
  </si>
  <si>
    <t xml:space="preserve">Standort (Sparte)</t>
  </si>
  <si>
    <t xml:space="preserve">Sparten am Standort</t>
  </si>
  <si>
    <t xml:space="preserve">Belegung</t>
  </si>
  <si>
    <t xml:space="preserve">Glasfaserstrecken im Schrank</t>
  </si>
  <si>
    <t xml:space="preserve">Aggregation-Switches</t>
  </si>
  <si>
    <t xml:space="preserve">Uplink-Bedarf Mbit/s</t>
  </si>
  <si>
    <t xml:space="preserve">Gateways €</t>
  </si>
  <si>
    <t xml:space="preserve">Schrank, USV, Switches, Montage €</t>
  </si>
  <si>
    <t xml:space="preserve">Investition Standort</t>
  </si>
  <si>
    <t xml:space="preserve">laufend Standort / Jahr</t>
  </si>
  <si>
    <t xml:space="preserve">Ergebnis je Sparte (Standortkosten nach Parzellen verteilt)</t>
  </si>
  <si>
    <t xml:space="preserve">Umsatz = Kunden × Ø Tarifpreis · Deckungsbeitrag = Umsatz − laufende Kosten − Zahlungsabwicklung (vor zentralen Firmenkosten)</t>
  </si>
  <si>
    <t xml:space="preserve">Quote</t>
  </si>
  <si>
    <t xml:space="preserve">Anteil Standort</t>
  </si>
  <si>
    <t xml:space="preserve">Investition (inkl. Anteil Standort)</t>
  </si>
  <si>
    <t xml:space="preserve">laufende Kosten / Jahr</t>
  </si>
  <si>
    <t xml:space="preserve">Deckungsbeitrag / Jahr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</si>
</sst>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&quot; €&quot;"/>
    <numFmt numFmtId="167" formatCode="0.0%"/>
    <numFmt numFmtId="168" formatCode="0.0"/>
    <numFmt numFmtId="169" formatCode="0"/>
    <numFmt numFmtId="170" formatCode="#,##0.00"/>
    <numFmt numFmtId="171" formatCode="0.00"/>
    <numFmt numFmtId="172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D2F3E"/>
      <name val="Arial"/>
      <family val="0"/>
      <charset val="1"/>
    </font>
    <font>
      <i val="true"/>
      <sz val="9"/>
      <color rgb="FF5D6B75"/>
      <name val="Arial"/>
      <family val="0"/>
      <charset val="1"/>
    </font>
    <font>
      <b val="true"/>
      <sz val="12"/>
      <color rgb="FF1D2F3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4661A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D6B75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D2F3E"/>
        <bgColor rgb="FF003366"/>
      </patternFill>
    </fill>
    <fill>
      <patternFill patternType="solid">
        <fgColor rgb="FF548235"/>
        <bgColor rgb="FF5D6B75"/>
      </patternFill>
    </fill>
    <fill>
      <patternFill patternType="solid">
        <fgColor rgb="FFFFF2B3"/>
        <bgColor rgb="FFFDE8E6"/>
      </patternFill>
    </fill>
    <fill>
      <patternFill patternType="solid">
        <fgColor rgb="FFFDE8E6"/>
        <bgColor rgb="FFE7F3E1"/>
      </patternFill>
    </fill>
    <fill>
      <patternFill patternType="solid">
        <fgColor rgb="FFE7F3E1"/>
        <bgColor rgb="FFFD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D2F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DE8E6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ont>
        <b val="1"/>
        <color rgb="FFB42318"/>
      </font>
    </dxf>
    <dxf>
      <font>
        <b val="1"/>
        <color rgb="FFB42318"/>
      </font>
      <fill>
        <patternFill>
          <bgColor rgb="FFFDE8E6"/>
        </patternFill>
      </fill>
    </dxf>
    <dxf>
      <font>
        <b val="1"/>
        <color rgb="FF24661A"/>
      </font>
      <fill>
        <patternFill>
          <bgColor rgb="FFE7F3E1"/>
        </patternFill>
      </fill>
    </dxf>
    <dxf>
      <font>
        <b val="1"/>
        <color rgb="FF9A67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4661A"/>
      <rgbColor rgb="FF000080"/>
      <rgbColor rgb="FF9A67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D9E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F3E1"/>
      <rgbColor rgb="FFFD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B75"/>
      <rgbColor rgb="FF969696"/>
      <rgbColor rgb="FF003366"/>
      <rgbColor rgb="FF548235"/>
      <rgbColor rgb="FF003300"/>
      <rgbColor rgb="FF333300"/>
      <rgbColor rgb="FFB42318"/>
      <rgbColor rgb="FF993366"/>
      <rgbColor rgb="FF333399"/>
      <rgbColor rgb="FF1D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8.5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30" hidden="false" customHeight="true" outlineLevel="0" collapsed="false">
      <c r="A4" s="5" t="s">
        <v>27</v>
      </c>
      <c r="B4" s="5" t="s">
        <v>28</v>
      </c>
      <c r="C4" s="5" t="s">
        <v>29</v>
      </c>
      <c r="D4" s="5" t="s">
        <v>30</v>
      </c>
    </row>
    <row r="5" customFormat="false" ht="15" hidden="false" customHeight="false" outlineLevel="0" collapsed="false">
      <c r="A5" s="6" t="s">
        <v>31</v>
      </c>
      <c r="B5" s="7"/>
      <c r="C5" s="7"/>
      <c r="D5" s="7"/>
    </row>
    <row r="6" customFormat="false" ht="15" hidden="false" customHeight="false" outlineLevel="0" collapsed="false">
      <c r="A6" s="8" t="s">
        <v>32</v>
      </c>
      <c r="B6" s="9" t="n">
        <f aca="false">COUNT(Anlagen!A5:A92)</f>
        <v>88</v>
      </c>
      <c r="C6" s="9" t="n">
        <f aca="false">Standorte!C93</f>
        <v>16</v>
      </c>
      <c r="D6" s="10" t="n">
        <f aca="false">C6-B6</f>
        <v>-72</v>
      </c>
    </row>
    <row r="7" customFormat="false" ht="15" hidden="false" customHeight="false" outlineLevel="0" collapsed="false">
      <c r="A7" s="8" t="s">
        <v>33</v>
      </c>
      <c r="B7" s="9" t="n">
        <f aca="false">Investition!P93</f>
        <v>133</v>
      </c>
      <c r="C7" s="9" t="n">
        <f aca="false">Standorte!E93</f>
        <v>96</v>
      </c>
      <c r="D7" s="10" t="n">
        <f aca="false">C7-B7</f>
        <v>-37</v>
      </c>
    </row>
    <row r="8" customFormat="false" ht="15" hidden="false" customHeight="false" outlineLevel="0" collapsed="false">
      <c r="A8" s="8" t="s">
        <v>34</v>
      </c>
      <c r="B8" s="9" t="n">
        <f aca="false">SUMPRODUCT(--(Anlagen!A5:A92&gt;0))</f>
        <v>88</v>
      </c>
      <c r="C8" s="9" t="n">
        <f aca="false">Standorte!K93</f>
        <v>23</v>
      </c>
      <c r="D8" s="10" t="n">
        <f aca="false">C8-B8</f>
        <v>-65</v>
      </c>
    </row>
    <row r="9" customFormat="false" ht="15" hidden="false" customHeight="false" outlineLevel="0" collapsed="false">
      <c r="A9" s="8" t="s">
        <v>35</v>
      </c>
      <c r="B9" s="9" t="n">
        <v>0</v>
      </c>
      <c r="C9" s="9" t="n">
        <f aca="false">Netz!G93</f>
        <v>56896.6491537198</v>
      </c>
      <c r="D9" s="10" t="n">
        <f aca="false">C9-B9</f>
        <v>56896.6491537198</v>
      </c>
    </row>
    <row r="10" customFormat="false" ht="15" hidden="false" customHeight="false" outlineLevel="0" collapsed="false">
      <c r="A10" s="8" t="s">
        <v>36</v>
      </c>
      <c r="C10" s="9" t="n">
        <f aca="false">COUNTIF(Netz!P5:P92,"Fehler*")+COUNTIF(Netz!Y5:Y92,"Fehler*")</f>
        <v>0</v>
      </c>
    </row>
    <row r="11" customFormat="false" ht="15" hidden="false" customHeight="false" outlineLevel="0" collapsed="false">
      <c r="A11" s="6" t="s">
        <v>37</v>
      </c>
      <c r="B11" s="7"/>
      <c r="C11" s="7"/>
      <c r="D11" s="7"/>
    </row>
    <row r="12" customFormat="false" ht="15" hidden="false" customHeight="false" outlineLevel="0" collapsed="false">
      <c r="A12" s="8" t="s">
        <v>38</v>
      </c>
      <c r="B12" s="11" t="n">
        <f aca="false">Investition!Q93</f>
        <v>1812369.80102577</v>
      </c>
      <c r="C12" s="11" t="n">
        <f aca="false">Investition!N93+Standorte!N93</f>
        <v>1768027.27576516</v>
      </c>
      <c r="D12" s="12" t="n">
        <f aca="false">C12-B12</f>
        <v>-44342.5252606103</v>
      </c>
    </row>
    <row r="13" customFormat="false" ht="15" hidden="false" customHeight="false" outlineLevel="0" collapsed="false">
      <c r="A13" s="8" t="s">
        <v>39</v>
      </c>
      <c r="B13" s="11" t="n">
        <f aca="false">Investition!R93</f>
        <v>183146.944030773</v>
      </c>
      <c r="C13" s="11" t="n">
        <f aca="false">Investition!O93+Standorte!O93</f>
        <v>104246.518272955</v>
      </c>
      <c r="D13" s="12" t="n">
        <f aca="false">C13-B13</f>
        <v>-78900.4257578183</v>
      </c>
    </row>
    <row r="14" customFormat="false" ht="15" hidden="false" customHeight="false" outlineLevel="0" collapsed="false">
      <c r="A14" s="8" t="s">
        <v>40</v>
      </c>
      <c r="B14" s="11" t="n">
        <f aca="false">B12+B13*Jahre</f>
        <v>2728104.52117963</v>
      </c>
      <c r="C14" s="11" t="n">
        <f aca="false">C12+C13*Jahre</f>
        <v>2289259.86712993</v>
      </c>
      <c r="D14" s="12" t="n">
        <f aca="false">C14-B14</f>
        <v>-438844.654049702</v>
      </c>
    </row>
    <row r="15" customFormat="false" ht="15" hidden="false" customHeight="false" outlineLevel="0" collapsed="false">
      <c r="A15" s="6" t="s">
        <v>41</v>
      </c>
      <c r="B15" s="7"/>
      <c r="C15" s="7"/>
      <c r="D15" s="7"/>
    </row>
    <row r="16" customFormat="false" ht="15" hidden="false" customHeight="false" outlineLevel="0" collapsed="false">
      <c r="A16" s="8" t="s">
        <v>42</v>
      </c>
      <c r="C16" s="9" t="n">
        <f aca="false">SUM(Anlagen!F5:F92)</f>
        <v>5017</v>
      </c>
    </row>
    <row r="17" customFormat="false" ht="15" hidden="false" customHeight="false" outlineLevel="0" collapsed="false">
      <c r="A17" s="8" t="s">
        <v>43</v>
      </c>
      <c r="C17" s="13" t="n">
        <f aca="false">Buchungsquote!E93</f>
        <v>0.034084114012358</v>
      </c>
    </row>
    <row r="18" customFormat="false" ht="15" hidden="false" customHeight="false" outlineLevel="0" collapsed="false">
      <c r="A18" s="8" t="s">
        <v>44</v>
      </c>
      <c r="C18" s="13" t="n">
        <f aca="false">Buchungsquote!Q93</f>
        <v>0.0791255152895356</v>
      </c>
    </row>
    <row r="19" customFormat="false" ht="15" hidden="false" customHeight="false" outlineLevel="0" collapsed="false">
      <c r="A19" s="8" t="s">
        <v>45</v>
      </c>
      <c r="C19" s="13" t="n">
        <f aca="false">Buchungsquote!T93</f>
        <v>0.561055133421777</v>
      </c>
    </row>
    <row r="20" customFormat="false" ht="15" hidden="false" customHeight="false" outlineLevel="0" collapsed="false">
      <c r="A20" s="8" t="s">
        <v>46</v>
      </c>
      <c r="C20" s="9" t="n">
        <f aca="false">Buchungsquote!V93</f>
        <v>2814.81360437705</v>
      </c>
    </row>
    <row r="21" customFormat="false" ht="15" hidden="false" customHeight="false" outlineLevel="0" collapsed="false">
      <c r="A21" s="8" t="s">
        <v>47</v>
      </c>
      <c r="C21" s="11" t="n">
        <f aca="false">Ergebnis!H93</f>
        <v>337777.632525246</v>
      </c>
    </row>
    <row r="22" customFormat="false" ht="15" hidden="false" customHeight="false" outlineLevel="0" collapsed="false">
      <c r="A22" s="8" t="s">
        <v>48</v>
      </c>
      <c r="C22" s="11" t="n">
        <f aca="false">Ergebnis!L93</f>
        <v>223397.785276534</v>
      </c>
    </row>
    <row r="23" customFormat="false" ht="15" hidden="false" customHeight="false" outlineLevel="0" collapsed="false">
      <c r="A23" s="8" t="s">
        <v>49</v>
      </c>
      <c r="C23" s="14" t="n">
        <f aca="false">Ergebnis!M93</f>
        <v>7.91425605932751</v>
      </c>
    </row>
    <row r="24" customFormat="false" ht="15" hidden="false" customHeight="false" outlineLevel="0" collapsed="false">
      <c r="A24" s="8" t="s">
        <v>50</v>
      </c>
      <c r="C24" s="11" t="n">
        <f aca="false">Ergebnis!N93</f>
        <v>628.115223336943</v>
      </c>
    </row>
    <row r="26" customFormat="false" ht="15" hidden="false" customHeight="false" outlineLevel="0" collapsed="false">
      <c r="A26" s="2" t="s">
        <v>51</v>
      </c>
      <c r="C26" s="2" t="str">
        <f aca="false">IF(Quote_Modus=2,"feste Quote "&amp;TEXT(Quote_fest,"0%"),IF(Szenario=2,"aus Alter und Leerstand, in 5 Jahren","aus Alter und Leerstand, heute"))</f>
        <v>aus Alter und Leerstand, heute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"/>
    <col collapsed="false" customWidth="true" hidden="false" outlineLevel="0" max="3" min="3" style="0" width="13"/>
    <col collapsed="false" customWidth="true" hidden="false" outlineLevel="0" max="4" min="4" style="0" width="62"/>
  </cols>
  <sheetData>
    <row r="1" customFormat="false" ht="18.5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24" hidden="false" customHeight="true" outlineLevel="0" collapsed="false">
      <c r="A4" s="5" t="s">
        <v>54</v>
      </c>
      <c r="B4" s="5"/>
      <c r="C4" s="5" t="s">
        <v>55</v>
      </c>
      <c r="D4" s="5" t="s">
        <v>56</v>
      </c>
    </row>
    <row r="6" customFormat="false" ht="15" hidden="false" customHeight="false" outlineLevel="0" collapsed="false">
      <c r="A6" s="6" t="s">
        <v>57</v>
      </c>
      <c r="B6" s="7"/>
      <c r="C6" s="7"/>
      <c r="D6" s="7"/>
    </row>
    <row r="7" customFormat="false" ht="15" hidden="false" customHeight="false" outlineLevel="0" collapsed="false">
      <c r="A7" s="8" t="s">
        <v>58</v>
      </c>
      <c r="C7" s="15" t="n">
        <v>55</v>
      </c>
      <c r="D7" s="16" t="s">
        <v>59</v>
      </c>
    </row>
    <row r="8" customFormat="false" ht="15" hidden="false" customHeight="false" outlineLevel="0" collapsed="false">
      <c r="A8" s="8" t="s">
        <v>60</v>
      </c>
      <c r="C8" s="15" t="n">
        <v>10</v>
      </c>
      <c r="D8" s="16" t="s">
        <v>61</v>
      </c>
    </row>
    <row r="9" customFormat="false" ht="15" hidden="false" customHeight="false" outlineLevel="0" collapsed="false">
      <c r="A9" s="8" t="s">
        <v>62</v>
      </c>
      <c r="C9" s="15" t="n">
        <v>1</v>
      </c>
      <c r="D9" s="16" t="s">
        <v>63</v>
      </c>
    </row>
    <row r="10" customFormat="false" ht="15" hidden="false" customHeight="false" outlineLevel="0" collapsed="false">
      <c r="A10" s="8" t="s">
        <v>64</v>
      </c>
      <c r="C10" s="17" t="n">
        <v>1.3</v>
      </c>
      <c r="D10" s="16"/>
    </row>
    <row r="11" customFormat="false" ht="15" hidden="false" customHeight="false" outlineLevel="0" collapsed="false">
      <c r="A11" s="8" t="s">
        <v>65</v>
      </c>
      <c r="C11" s="18" t="n">
        <v>1000</v>
      </c>
      <c r="D11" s="16" t="s">
        <v>66</v>
      </c>
    </row>
    <row r="12" customFormat="false" ht="15" hidden="false" customHeight="false" outlineLevel="0" collapsed="false">
      <c r="A12" s="8" t="s">
        <v>67</v>
      </c>
      <c r="C12" s="15" t="n">
        <v>8</v>
      </c>
      <c r="D12" s="16" t="s">
        <v>68</v>
      </c>
    </row>
    <row r="13" customFormat="false" ht="15" hidden="false" customHeight="false" outlineLevel="0" collapsed="false">
      <c r="A13" s="8" t="s">
        <v>69</v>
      </c>
      <c r="C13" s="15" t="n">
        <v>30</v>
      </c>
      <c r="D13" s="16" t="s">
        <v>66</v>
      </c>
    </row>
    <row r="14" customFormat="false" ht="15" hidden="false" customHeight="false" outlineLevel="0" collapsed="false">
      <c r="A14" s="8" t="s">
        <v>70</v>
      </c>
      <c r="C14" s="15" t="n">
        <v>5</v>
      </c>
      <c r="D14" s="16" t="s">
        <v>71</v>
      </c>
    </row>
    <row r="16" customFormat="false" ht="15" hidden="false" customHeight="false" outlineLevel="0" collapsed="false">
      <c r="A16" s="6" t="s">
        <v>72</v>
      </c>
      <c r="B16" s="7"/>
      <c r="C16" s="7"/>
      <c r="D16" s="7"/>
    </row>
    <row r="17" customFormat="false" ht="15" hidden="false" customHeight="false" outlineLevel="0" collapsed="false">
      <c r="A17" s="8" t="s">
        <v>73</v>
      </c>
      <c r="C17" s="17" t="n">
        <v>250</v>
      </c>
      <c r="D17" s="16" t="s">
        <v>74</v>
      </c>
    </row>
    <row r="18" customFormat="false" ht="15" hidden="false" customHeight="false" outlineLevel="0" collapsed="false">
      <c r="A18" s="8" t="s">
        <v>75</v>
      </c>
      <c r="C18" s="17" t="n">
        <v>240</v>
      </c>
      <c r="D18" s="16" t="s">
        <v>76</v>
      </c>
    </row>
    <row r="19" customFormat="false" ht="15" hidden="false" customHeight="false" outlineLevel="0" collapsed="false">
      <c r="A19" s="8" t="s">
        <v>77</v>
      </c>
      <c r="C19" s="17" t="n">
        <v>20</v>
      </c>
      <c r="D19" s="16" t="s">
        <v>78</v>
      </c>
    </row>
    <row r="20" customFormat="false" ht="15" hidden="false" customHeight="false" outlineLevel="0" collapsed="false">
      <c r="A20" s="8" t="s">
        <v>79</v>
      </c>
      <c r="C20" s="17" t="n">
        <v>1500</v>
      </c>
      <c r="D20" s="16" t="s">
        <v>80</v>
      </c>
    </row>
    <row r="21" customFormat="false" ht="15" hidden="false" customHeight="false" outlineLevel="0" collapsed="false">
      <c r="A21" s="8" t="s">
        <v>81</v>
      </c>
      <c r="C21" s="17" t="n">
        <v>250</v>
      </c>
      <c r="D21" s="16" t="s">
        <v>80</v>
      </c>
    </row>
    <row r="22" customFormat="false" ht="15" hidden="false" customHeight="false" outlineLevel="0" collapsed="false">
      <c r="A22" s="8" t="s">
        <v>82</v>
      </c>
      <c r="C22" s="17" t="n">
        <v>21.9</v>
      </c>
      <c r="D22" s="16" t="s">
        <v>83</v>
      </c>
    </row>
    <row r="23" customFormat="false" ht="15" hidden="false" customHeight="false" outlineLevel="0" collapsed="false">
      <c r="A23" s="8" t="s">
        <v>84</v>
      </c>
      <c r="C23" s="17" t="n">
        <v>179</v>
      </c>
      <c r="D23" s="16" t="s">
        <v>74</v>
      </c>
    </row>
    <row r="24" customFormat="false" ht="15" hidden="false" customHeight="false" outlineLevel="0" collapsed="false">
      <c r="A24" s="8" t="s">
        <v>85</v>
      </c>
      <c r="C24" s="17" t="n">
        <v>70</v>
      </c>
      <c r="D24" s="16" t="s">
        <v>78</v>
      </c>
    </row>
    <row r="25" customFormat="false" ht="15" hidden="false" customHeight="false" outlineLevel="0" collapsed="false">
      <c r="A25" s="8" t="s">
        <v>86</v>
      </c>
      <c r="C25" s="17" t="n">
        <v>8.5</v>
      </c>
      <c r="D25" s="16" t="s">
        <v>78</v>
      </c>
    </row>
    <row r="26" customFormat="false" ht="15" hidden="false" customHeight="false" outlineLevel="0" collapsed="false">
      <c r="A26" s="8" t="s">
        <v>87</v>
      </c>
      <c r="C26" s="17" t="n">
        <v>45</v>
      </c>
      <c r="D26" s="16" t="s">
        <v>80</v>
      </c>
    </row>
    <row r="27" customFormat="false" ht="15" hidden="false" customHeight="false" outlineLevel="0" collapsed="false">
      <c r="A27" s="8" t="s">
        <v>88</v>
      </c>
      <c r="C27" s="17" t="n">
        <v>32.9</v>
      </c>
      <c r="D27" s="16" t="s">
        <v>83</v>
      </c>
    </row>
    <row r="28" customFormat="false" ht="15" hidden="false" customHeight="false" outlineLevel="0" collapsed="false">
      <c r="A28" s="8" t="s">
        <v>89</v>
      </c>
      <c r="C28" s="17" t="n">
        <v>300</v>
      </c>
      <c r="D28" s="16" t="s">
        <v>80</v>
      </c>
    </row>
    <row r="29" customFormat="false" ht="15" hidden="false" customHeight="false" outlineLevel="0" collapsed="false">
      <c r="A29" s="8" t="s">
        <v>90</v>
      </c>
      <c r="C29" s="17" t="n">
        <v>80</v>
      </c>
      <c r="D29" s="16" t="s">
        <v>80</v>
      </c>
    </row>
    <row r="30" customFormat="false" ht="15" hidden="false" customHeight="false" outlineLevel="0" collapsed="false">
      <c r="A30" s="8" t="s">
        <v>91</v>
      </c>
      <c r="C30" s="17" t="n">
        <v>12</v>
      </c>
      <c r="D30" s="16" t="s">
        <v>74</v>
      </c>
    </row>
    <row r="31" customFormat="false" ht="15" hidden="false" customHeight="false" outlineLevel="0" collapsed="false">
      <c r="A31" s="8" t="s">
        <v>92</v>
      </c>
      <c r="C31" s="17" t="n">
        <v>250</v>
      </c>
      <c r="D31" s="16" t="s">
        <v>74</v>
      </c>
    </row>
    <row r="32" customFormat="false" ht="15" hidden="false" customHeight="false" outlineLevel="0" collapsed="false">
      <c r="A32" s="8" t="s">
        <v>93</v>
      </c>
      <c r="C32" s="17" t="n">
        <v>392</v>
      </c>
      <c r="D32" s="16" t="s">
        <v>94</v>
      </c>
    </row>
    <row r="33" customFormat="false" ht="15" hidden="false" customHeight="false" outlineLevel="0" collapsed="false">
      <c r="A33" s="8" t="s">
        <v>95</v>
      </c>
      <c r="C33" s="17" t="n">
        <v>120</v>
      </c>
      <c r="D33" s="16" t="s">
        <v>80</v>
      </c>
    </row>
    <row r="34" customFormat="false" ht="15" hidden="false" customHeight="false" outlineLevel="0" collapsed="false">
      <c r="A34" s="8" t="s">
        <v>96</v>
      </c>
      <c r="C34" s="17" t="n">
        <v>1.5</v>
      </c>
      <c r="D34" s="16" t="s">
        <v>97</v>
      </c>
    </row>
    <row r="35" customFormat="false" ht="15" hidden="false" customHeight="false" outlineLevel="0" collapsed="false">
      <c r="A35" s="8" t="s">
        <v>98</v>
      </c>
      <c r="C35" s="17" t="n">
        <v>1.2</v>
      </c>
      <c r="D35" s="16" t="s">
        <v>97</v>
      </c>
    </row>
    <row r="36" customFormat="false" ht="15" hidden="false" customHeight="false" outlineLevel="0" collapsed="false">
      <c r="A36" s="8" t="s">
        <v>99</v>
      </c>
      <c r="C36" s="17" t="n">
        <v>0</v>
      </c>
      <c r="D36" s="16" t="s">
        <v>100</v>
      </c>
    </row>
    <row r="37" customFormat="false" ht="15" hidden="false" customHeight="false" outlineLevel="0" collapsed="false">
      <c r="A37" s="8" t="s">
        <v>101</v>
      </c>
      <c r="C37" s="17" t="n">
        <v>500</v>
      </c>
      <c r="D37" s="16" t="s">
        <v>102</v>
      </c>
    </row>
    <row r="38" customFormat="false" ht="15" hidden="false" customHeight="false" outlineLevel="0" collapsed="false">
      <c r="A38" s="8" t="s">
        <v>103</v>
      </c>
      <c r="C38" s="17" t="n">
        <v>150</v>
      </c>
      <c r="D38" s="16" t="s">
        <v>102</v>
      </c>
    </row>
    <row r="39" customFormat="false" ht="15" hidden="false" customHeight="false" outlineLevel="0" collapsed="false">
      <c r="A39" s="8" t="s">
        <v>104</v>
      </c>
      <c r="C39" s="17" t="n">
        <v>150</v>
      </c>
      <c r="D39" s="16" t="s">
        <v>105</v>
      </c>
    </row>
    <row r="41" customFormat="false" ht="15" hidden="false" customHeight="false" outlineLevel="0" collapsed="false">
      <c r="A41" s="6" t="s">
        <v>106</v>
      </c>
      <c r="B41" s="7"/>
      <c r="C41" s="7"/>
      <c r="D41" s="7"/>
    </row>
    <row r="42" customFormat="false" ht="15" hidden="false" customHeight="false" outlineLevel="0" collapsed="false">
      <c r="A42" s="8" t="s">
        <v>107</v>
      </c>
      <c r="C42" s="15" t="n">
        <v>1</v>
      </c>
      <c r="D42" s="16" t="s">
        <v>108</v>
      </c>
    </row>
    <row r="43" customFormat="false" ht="15" hidden="false" customHeight="false" outlineLevel="0" collapsed="false">
      <c r="A43" s="8" t="s">
        <v>109</v>
      </c>
      <c r="C43" s="19" t="n">
        <v>0.19</v>
      </c>
      <c r="D43" s="16"/>
    </row>
    <row r="44" customFormat="false" ht="15" hidden="false" customHeight="false" outlineLevel="0" collapsed="false">
      <c r="A44" s="8" t="s">
        <v>110</v>
      </c>
      <c r="C44" s="20" t="n">
        <f aca="false">IF(KU=1,1+USt,1)</f>
        <v>1.19</v>
      </c>
      <c r="D44" s="16" t="s">
        <v>111</v>
      </c>
    </row>
    <row r="46" customFormat="false" ht="15" hidden="false" customHeight="false" outlineLevel="0" collapsed="false">
      <c r="A46" s="6" t="s">
        <v>112</v>
      </c>
      <c r="B46" s="7"/>
      <c r="C46" s="7"/>
      <c r="D46" s="7"/>
    </row>
    <row r="47" customFormat="false" ht="15" hidden="false" customHeight="false" outlineLevel="0" collapsed="false">
      <c r="A47" s="8" t="s">
        <v>113</v>
      </c>
      <c r="C47" s="17" t="n">
        <v>3.6</v>
      </c>
      <c r="D47" s="16" t="s">
        <v>114</v>
      </c>
    </row>
    <row r="48" customFormat="false" ht="15" hidden="false" customHeight="false" outlineLevel="0" collapsed="false">
      <c r="A48" s="8" t="s">
        <v>115</v>
      </c>
      <c r="C48" s="17" t="n">
        <v>2.2</v>
      </c>
      <c r="D48" s="16" t="s">
        <v>116</v>
      </c>
    </row>
    <row r="49" customFormat="false" ht="15" hidden="false" customHeight="false" outlineLevel="0" collapsed="false">
      <c r="A49" s="8" t="s">
        <v>117</v>
      </c>
      <c r="C49" s="19" t="n">
        <v>0.5</v>
      </c>
      <c r="D49" s="16" t="s">
        <v>118</v>
      </c>
    </row>
    <row r="50" customFormat="false" ht="15" hidden="false" customHeight="false" outlineLevel="0" collapsed="false">
      <c r="A50" s="8" t="s">
        <v>119</v>
      </c>
      <c r="C50" s="21" t="n">
        <v>2.806</v>
      </c>
      <c r="D50" s="16" t="s">
        <v>120</v>
      </c>
    </row>
    <row r="51" customFormat="false" ht="15" hidden="false" customHeight="false" outlineLevel="0" collapsed="false">
      <c r="A51" s="8" t="s">
        <v>121</v>
      </c>
      <c r="C51" s="17" t="n">
        <v>1.66</v>
      </c>
      <c r="D51" s="16" t="s">
        <v>122</v>
      </c>
    </row>
    <row r="52" customFormat="false" ht="15" hidden="false" customHeight="false" outlineLevel="0" collapsed="false">
      <c r="A52" s="8" t="s">
        <v>123</v>
      </c>
      <c r="C52" s="17" t="n">
        <v>1.06</v>
      </c>
      <c r="D52" s="16" t="s">
        <v>124</v>
      </c>
    </row>
    <row r="53" customFormat="false" ht="15" hidden="false" customHeight="false" outlineLevel="0" collapsed="false">
      <c r="A53" s="8" t="s">
        <v>125</v>
      </c>
      <c r="C53" s="17" t="n">
        <v>0.42</v>
      </c>
      <c r="D53" s="16" t="s">
        <v>126</v>
      </c>
    </row>
    <row r="54" customFormat="false" ht="15" hidden="false" customHeight="false" outlineLevel="0" collapsed="false">
      <c r="A54" s="8" t="s">
        <v>127</v>
      </c>
      <c r="C54" s="15" t="n">
        <v>8</v>
      </c>
      <c r="D54" s="16" t="s">
        <v>128</v>
      </c>
    </row>
    <row r="56" customFormat="false" ht="15" hidden="false" customHeight="false" outlineLevel="0" collapsed="false">
      <c r="A56" s="6" t="s">
        <v>129</v>
      </c>
      <c r="B56" s="7"/>
      <c r="C56" s="7"/>
      <c r="D56" s="7"/>
    </row>
    <row r="57" customFormat="false" ht="15" hidden="false" customHeight="false" outlineLevel="0" collapsed="false">
      <c r="A57" s="8" t="s">
        <v>130</v>
      </c>
      <c r="C57" s="17" t="n">
        <v>75</v>
      </c>
      <c r="D57" s="16" t="s">
        <v>131</v>
      </c>
    </row>
    <row r="58" customFormat="false" ht="15" hidden="false" customHeight="false" outlineLevel="0" collapsed="false">
      <c r="A58" s="8" t="s">
        <v>132</v>
      </c>
      <c r="C58" s="17" t="n">
        <v>80</v>
      </c>
      <c r="D58" s="16" t="s">
        <v>133</v>
      </c>
    </row>
    <row r="59" customFormat="false" ht="15" hidden="false" customHeight="false" outlineLevel="0" collapsed="false">
      <c r="A59" s="8" t="s">
        <v>134</v>
      </c>
      <c r="C59" s="17" t="n">
        <v>25</v>
      </c>
      <c r="D59" s="16" t="s">
        <v>135</v>
      </c>
    </row>
    <row r="60" customFormat="false" ht="15" hidden="false" customHeight="false" outlineLevel="0" collapsed="false">
      <c r="A60" s="8" t="s">
        <v>136</v>
      </c>
      <c r="C60" s="17" t="n">
        <v>50</v>
      </c>
      <c r="D60" s="16" t="s">
        <v>133</v>
      </c>
    </row>
    <row r="61" customFormat="false" ht="15" hidden="false" customHeight="false" outlineLevel="0" collapsed="false">
      <c r="A61" s="8" t="s">
        <v>137</v>
      </c>
      <c r="C61" s="19" t="n">
        <v>0.03</v>
      </c>
      <c r="D61" s="16" t="s">
        <v>138</v>
      </c>
    </row>
    <row r="62" customFormat="false" ht="15" hidden="false" customHeight="false" outlineLevel="0" collapsed="false">
      <c r="A62" s="8" t="s">
        <v>139</v>
      </c>
      <c r="C62" s="19" t="n">
        <v>0.03</v>
      </c>
      <c r="D62" s="16" t="s">
        <v>138</v>
      </c>
    </row>
    <row r="63" customFormat="false" ht="15" hidden="false" customHeight="false" outlineLevel="0" collapsed="false">
      <c r="A63" s="8" t="s">
        <v>140</v>
      </c>
      <c r="C63" s="17" t="n">
        <v>120</v>
      </c>
      <c r="D63" s="16" t="s">
        <v>141</v>
      </c>
    </row>
    <row r="65" customFormat="false" ht="15" hidden="false" customHeight="false" outlineLevel="0" collapsed="false">
      <c r="A65" s="6" t="s">
        <v>142</v>
      </c>
      <c r="B65" s="7"/>
      <c r="C65" s="7"/>
      <c r="D65" s="7"/>
    </row>
    <row r="66" customFormat="false" ht="15" hidden="false" customHeight="false" outlineLevel="0" collapsed="false">
      <c r="A66" s="8" t="s">
        <v>143</v>
      </c>
      <c r="C66" s="15" t="n">
        <v>1</v>
      </c>
      <c r="D66" s="16" t="s">
        <v>144</v>
      </c>
    </row>
    <row r="67" customFormat="false" ht="15" hidden="false" customHeight="false" outlineLevel="0" collapsed="false">
      <c r="A67" s="8" t="s">
        <v>145</v>
      </c>
      <c r="C67" s="19" t="n">
        <v>0.6</v>
      </c>
      <c r="D67" s="16" t="s">
        <v>146</v>
      </c>
    </row>
    <row r="68" customFormat="false" ht="15" hidden="false" customHeight="false" outlineLevel="0" collapsed="false">
      <c r="A68" s="8" t="s">
        <v>147</v>
      </c>
      <c r="C68" s="15" t="n">
        <v>1</v>
      </c>
      <c r="D68" s="16"/>
    </row>
    <row r="69" customFormat="false" ht="15" hidden="false" customHeight="false" outlineLevel="0" collapsed="false">
      <c r="A69" s="8" t="s">
        <v>148</v>
      </c>
      <c r="C69" s="19" t="n">
        <v>0.8</v>
      </c>
      <c r="D69" s="16" t="s">
        <v>54</v>
      </c>
    </row>
    <row r="70" customFormat="false" ht="15" hidden="false" customHeight="false" outlineLevel="0" collapsed="false">
      <c r="A70" s="8" t="s">
        <v>149</v>
      </c>
      <c r="C70" s="19" t="n">
        <v>0.75</v>
      </c>
      <c r="D70" s="16" t="s">
        <v>54</v>
      </c>
    </row>
    <row r="71" customFormat="false" ht="15" hidden="false" customHeight="false" outlineLevel="0" collapsed="false">
      <c r="A71" s="8" t="s">
        <v>150</v>
      </c>
      <c r="C71" s="19" t="n">
        <v>0.6</v>
      </c>
      <c r="D71" s="16" t="s">
        <v>54</v>
      </c>
    </row>
    <row r="72" customFormat="false" ht="15" hidden="false" customHeight="false" outlineLevel="0" collapsed="false">
      <c r="A72" s="8" t="s">
        <v>151</v>
      </c>
      <c r="C72" s="19" t="n">
        <v>0.35</v>
      </c>
      <c r="D72" s="16" t="s">
        <v>152</v>
      </c>
    </row>
    <row r="73" customFormat="false" ht="15" hidden="false" customHeight="false" outlineLevel="0" collapsed="false">
      <c r="A73" s="8" t="s">
        <v>153</v>
      </c>
      <c r="C73" s="19" t="n">
        <v>0.1</v>
      </c>
      <c r="D73" s="16" t="s">
        <v>54</v>
      </c>
    </row>
    <row r="74" customFormat="false" ht="15" hidden="false" customHeight="false" outlineLevel="0" collapsed="false">
      <c r="A74" s="8" t="s">
        <v>154</v>
      </c>
      <c r="C74" s="19" t="n">
        <v>1</v>
      </c>
      <c r="D74" s="16" t="s">
        <v>155</v>
      </c>
    </row>
    <row r="75" customFormat="false" ht="15" hidden="false" customHeight="false" outlineLevel="0" collapsed="false">
      <c r="A75" s="8" t="s">
        <v>156</v>
      </c>
      <c r="C75" s="19" t="n">
        <v>1</v>
      </c>
      <c r="D75" s="16" t="s">
        <v>157</v>
      </c>
    </row>
    <row r="76" customFormat="false" ht="15" hidden="false" customHeight="false" outlineLevel="0" collapsed="false">
      <c r="A76" s="8" t="s">
        <v>158</v>
      </c>
      <c r="C76" s="19" t="n">
        <v>0.9</v>
      </c>
      <c r="D76" s="16" t="s">
        <v>159</v>
      </c>
    </row>
    <row r="77" customFormat="false" ht="15" hidden="false" customHeight="false" outlineLevel="0" collapsed="false">
      <c r="A77" s="8" t="s">
        <v>160</v>
      </c>
      <c r="C77" s="19" t="n">
        <v>0.75</v>
      </c>
      <c r="D77" s="16" t="s">
        <v>161</v>
      </c>
    </row>
    <row r="79" customFormat="false" ht="15" hidden="false" customHeight="false" outlineLevel="0" collapsed="false">
      <c r="A79" s="6" t="s">
        <v>162</v>
      </c>
      <c r="B79" s="7"/>
      <c r="C79" s="7"/>
      <c r="D79" s="7"/>
    </row>
    <row r="80" customFormat="false" ht="15" hidden="false" customHeight="false" outlineLevel="0" collapsed="false">
      <c r="A80" s="8" t="s">
        <v>163</v>
      </c>
      <c r="C80" s="19" t="n">
        <v>0.05</v>
      </c>
      <c r="D80" s="16" t="s">
        <v>54</v>
      </c>
    </row>
    <row r="81" customFormat="false" ht="15" hidden="false" customHeight="false" outlineLevel="0" collapsed="false">
      <c r="A81" s="8" t="s">
        <v>164</v>
      </c>
      <c r="C81" s="19" t="n">
        <v>0.05</v>
      </c>
      <c r="D81" s="16" t="s">
        <v>54</v>
      </c>
    </row>
    <row r="82" customFormat="false" ht="15" hidden="false" customHeight="false" outlineLevel="0" collapsed="false">
      <c r="A82" s="8" t="s">
        <v>165</v>
      </c>
      <c r="C82" s="19" t="n">
        <v>0.1</v>
      </c>
      <c r="D82" s="16" t="s">
        <v>54</v>
      </c>
    </row>
    <row r="83" customFormat="false" ht="15" hidden="false" customHeight="false" outlineLevel="0" collapsed="false">
      <c r="A83" s="8" t="s">
        <v>166</v>
      </c>
      <c r="C83" s="19" t="n">
        <v>0.3</v>
      </c>
      <c r="D83" s="16" t="s">
        <v>54</v>
      </c>
    </row>
    <row r="84" customFormat="false" ht="15" hidden="false" customHeight="false" outlineLevel="0" collapsed="false">
      <c r="A84" s="8" t="s">
        <v>167</v>
      </c>
      <c r="C84" s="19" t="n">
        <v>0.6</v>
      </c>
      <c r="D84" s="16" t="s">
        <v>54</v>
      </c>
    </row>
    <row r="85" customFormat="false" ht="15" hidden="false" customHeight="false" outlineLevel="0" collapsed="false">
      <c r="A85" s="8" t="s">
        <v>168</v>
      </c>
      <c r="C85" s="19" t="n">
        <v>0.7</v>
      </c>
      <c r="D85" s="16" t="s">
        <v>54</v>
      </c>
    </row>
    <row r="86" customFormat="false" ht="15" hidden="false" customHeight="false" outlineLevel="0" collapsed="false">
      <c r="A86" s="8" t="s">
        <v>169</v>
      </c>
      <c r="C86" s="17" t="n">
        <v>2</v>
      </c>
      <c r="D86" s="16" t="s">
        <v>170</v>
      </c>
    </row>
    <row r="87" customFormat="false" ht="15" hidden="false" customHeight="false" outlineLevel="0" collapsed="false">
      <c r="A87" s="8" t="s">
        <v>171</v>
      </c>
      <c r="C87" s="22" t="n">
        <f aca="false">Neig_2</f>
        <v>0.75</v>
      </c>
      <c r="D87" s="16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13" min="9" style="0" width="8"/>
    <col collapsed="false" customWidth="true" hidden="false" outlineLevel="0" max="15" min="14" style="0" width="9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20" min="19" style="0" width="13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5" min="24" style="0" width="9"/>
    <col collapsed="false" customWidth="true" hidden="false" outlineLevel="0" max="26" min="26" style="0" width="11"/>
    <col collapsed="false" customWidth="true" hidden="false" outlineLevel="0" max="27" min="27" style="0" width="9"/>
    <col collapsed="false" customWidth="true" hidden="false" outlineLevel="0" max="28" min="28" style="0" width="11"/>
  </cols>
  <sheetData>
    <row r="1" customFormat="false" ht="18.5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49.5" hidden="false" customHeight="true" outlineLevel="0" collapsed="false">
      <c r="A4" s="5" t="s">
        <v>175</v>
      </c>
      <c r="B4" s="5" t="s">
        <v>176</v>
      </c>
      <c r="C4" s="5" t="s">
        <v>177</v>
      </c>
      <c r="D4" s="5" t="s">
        <v>178</v>
      </c>
      <c r="E4" s="5" t="s">
        <v>179</v>
      </c>
      <c r="F4" s="5" t="s">
        <v>42</v>
      </c>
      <c r="G4" s="5" t="s">
        <v>180</v>
      </c>
      <c r="H4" s="5" t="s">
        <v>181</v>
      </c>
      <c r="I4" s="5" t="s">
        <v>182</v>
      </c>
      <c r="J4" s="5" t="s">
        <v>183</v>
      </c>
      <c r="K4" s="5" t="s">
        <v>184</v>
      </c>
      <c r="L4" s="5" t="s">
        <v>185</v>
      </c>
      <c r="M4" s="5" t="s">
        <v>186</v>
      </c>
      <c r="N4" s="5" t="s">
        <v>187</v>
      </c>
      <c r="O4" s="5" t="s">
        <v>188</v>
      </c>
      <c r="P4" s="5" t="s">
        <v>189</v>
      </c>
      <c r="Q4" s="5" t="s">
        <v>190</v>
      </c>
      <c r="R4" s="5" t="s">
        <v>191</v>
      </c>
      <c r="S4" s="5" t="s">
        <v>192</v>
      </c>
      <c r="T4" s="5" t="s">
        <v>193</v>
      </c>
      <c r="U4" s="5" t="s">
        <v>194</v>
      </c>
      <c r="V4" s="5" t="s">
        <v>195</v>
      </c>
      <c r="W4" s="5" t="s">
        <v>196</v>
      </c>
      <c r="X4" s="5" t="s">
        <v>197</v>
      </c>
      <c r="Y4" s="5" t="s">
        <v>198</v>
      </c>
      <c r="Z4" s="5" t="s">
        <v>199</v>
      </c>
      <c r="AA4" s="5" t="s">
        <v>200</v>
      </c>
      <c r="AB4" s="5" t="s">
        <v>201</v>
      </c>
    </row>
    <row r="5" customFormat="false" ht="15" hidden="false" customHeight="false" outlineLevel="0" collapsed="false">
      <c r="A5" s="23" t="n">
        <v>1</v>
      </c>
      <c r="B5" s="23" t="s">
        <v>202</v>
      </c>
      <c r="C5" s="23" t="s">
        <v>203</v>
      </c>
      <c r="D5" s="23" t="s">
        <v>204</v>
      </c>
      <c r="E5" s="23" t="s">
        <v>205</v>
      </c>
      <c r="F5" s="24" t="n">
        <v>30</v>
      </c>
      <c r="G5" s="24" t="n">
        <v>2</v>
      </c>
      <c r="H5" s="25" t="n">
        <v>8547</v>
      </c>
      <c r="I5" s="24" t="n">
        <v>0.4</v>
      </c>
      <c r="J5" s="24" t="n">
        <v>24.3</v>
      </c>
      <c r="K5" s="24" t="n">
        <v>10.8</v>
      </c>
      <c r="L5" s="24" t="n">
        <v>4.1</v>
      </c>
      <c r="M5" s="24" t="n">
        <v>0</v>
      </c>
      <c r="N5" s="26" t="n">
        <v>9.22</v>
      </c>
      <c r="O5" s="26" t="n">
        <v>7.78</v>
      </c>
      <c r="P5" s="23" t="n">
        <v>30</v>
      </c>
      <c r="Q5" s="23" t="n">
        <v>33</v>
      </c>
      <c r="R5" s="23" t="n">
        <v>6</v>
      </c>
      <c r="S5" s="27"/>
      <c r="T5" s="27"/>
      <c r="U5" s="27"/>
      <c r="V5" s="27"/>
      <c r="W5" s="28"/>
      <c r="X5" s="27"/>
      <c r="Y5" s="27"/>
      <c r="Z5" s="27"/>
      <c r="AA5" s="27" t="s">
        <v>206</v>
      </c>
      <c r="AB5" s="27"/>
    </row>
    <row r="6" customFormat="false" ht="15" hidden="false" customHeight="false" outlineLevel="0" collapsed="false">
      <c r="A6" s="23" t="n">
        <v>2</v>
      </c>
      <c r="B6" s="23" t="s">
        <v>207</v>
      </c>
      <c r="C6" s="23" t="s">
        <v>208</v>
      </c>
      <c r="D6" s="23" t="s">
        <v>209</v>
      </c>
      <c r="E6" s="23" t="s">
        <v>210</v>
      </c>
      <c r="F6" s="24" t="n">
        <v>75</v>
      </c>
      <c r="G6" s="24" t="n">
        <v>4</v>
      </c>
      <c r="H6" s="25" t="n">
        <v>34727</v>
      </c>
      <c r="I6" s="24" t="n">
        <v>0</v>
      </c>
      <c r="J6" s="24" t="n">
        <v>36.8</v>
      </c>
      <c r="K6" s="24" t="n">
        <v>33.3</v>
      </c>
      <c r="L6" s="24" t="n">
        <v>12.7</v>
      </c>
      <c r="M6" s="24" t="n">
        <v>0</v>
      </c>
      <c r="N6" s="26" t="n">
        <v>9.12</v>
      </c>
      <c r="O6" s="26" t="n">
        <v>2.09</v>
      </c>
      <c r="P6" s="23" t="n">
        <v>75</v>
      </c>
      <c r="Q6" s="23" t="n">
        <v>41</v>
      </c>
      <c r="R6" s="23" t="n">
        <v>20</v>
      </c>
      <c r="S6" s="27"/>
      <c r="T6" s="27"/>
      <c r="U6" s="27"/>
      <c r="V6" s="27"/>
      <c r="W6" s="28"/>
      <c r="X6" s="27"/>
      <c r="Y6" s="27"/>
      <c r="Z6" s="27"/>
      <c r="AA6" s="27" t="s">
        <v>211</v>
      </c>
      <c r="AB6" s="27"/>
    </row>
    <row r="7" customFormat="false" ht="15" hidden="false" customHeight="false" outlineLevel="0" collapsed="false">
      <c r="A7" s="23" t="n">
        <v>3</v>
      </c>
      <c r="B7" s="23" t="s">
        <v>212</v>
      </c>
      <c r="C7" s="23" t="s">
        <v>213</v>
      </c>
      <c r="D7" s="23" t="s">
        <v>214</v>
      </c>
      <c r="E7" s="23" t="s">
        <v>215</v>
      </c>
      <c r="F7" s="24" t="n">
        <v>137</v>
      </c>
      <c r="G7" s="24" t="n">
        <v>0</v>
      </c>
      <c r="H7" s="25" t="n">
        <v>64614</v>
      </c>
      <c r="I7" s="24" t="n">
        <v>1.6</v>
      </c>
      <c r="J7" s="24" t="n">
        <v>42.5</v>
      </c>
      <c r="K7" s="24" t="n">
        <v>105.7</v>
      </c>
      <c r="L7" s="24" t="n">
        <v>51.9</v>
      </c>
      <c r="M7" s="24" t="n">
        <v>0</v>
      </c>
      <c r="N7" s="26" t="n">
        <v>9.64</v>
      </c>
      <c r="O7" s="26" t="n">
        <v>6.32</v>
      </c>
      <c r="P7" s="23" t="n">
        <v>137</v>
      </c>
      <c r="Q7" s="23" t="n">
        <v>30</v>
      </c>
      <c r="R7" s="23" t="n">
        <v>30</v>
      </c>
      <c r="S7" s="27"/>
      <c r="T7" s="27"/>
      <c r="U7" s="27"/>
      <c r="V7" s="27"/>
      <c r="W7" s="28"/>
      <c r="X7" s="27"/>
      <c r="Y7" s="27"/>
      <c r="Z7" s="27"/>
      <c r="AA7" s="27" t="s">
        <v>216</v>
      </c>
      <c r="AB7" s="27"/>
    </row>
    <row r="8" customFormat="false" ht="15" hidden="false" customHeight="false" outlineLevel="0" collapsed="false">
      <c r="A8" s="23" t="n">
        <v>4</v>
      </c>
      <c r="B8" s="23" t="s">
        <v>217</v>
      </c>
      <c r="C8" s="23" t="s">
        <v>218</v>
      </c>
      <c r="D8" s="23" t="s">
        <v>214</v>
      </c>
      <c r="E8" s="23" t="s">
        <v>205</v>
      </c>
      <c r="F8" s="24" t="n">
        <v>142</v>
      </c>
      <c r="G8" s="24" t="n">
        <v>0</v>
      </c>
      <c r="H8" s="25" t="n">
        <v>75974</v>
      </c>
      <c r="I8" s="24" t="n">
        <v>2.8</v>
      </c>
      <c r="J8" s="24" t="n">
        <v>46.9</v>
      </c>
      <c r="K8" s="24" t="n">
        <v>71.4</v>
      </c>
      <c r="L8" s="24" t="n">
        <v>52.9</v>
      </c>
      <c r="M8" s="24" t="n">
        <v>2.8</v>
      </c>
      <c r="N8" s="26" t="n">
        <v>8.01</v>
      </c>
      <c r="O8" s="26" t="n">
        <v>7.51</v>
      </c>
      <c r="P8" s="23" t="n">
        <v>142</v>
      </c>
      <c r="Q8" s="23" t="n">
        <v>30</v>
      </c>
      <c r="R8" s="23" t="n">
        <v>30</v>
      </c>
      <c r="S8" s="27"/>
      <c r="T8" s="27"/>
      <c r="U8" s="27"/>
      <c r="V8" s="27"/>
      <c r="W8" s="28"/>
      <c r="X8" s="27"/>
      <c r="Y8" s="27"/>
      <c r="Z8" s="27"/>
      <c r="AA8" s="27" t="s">
        <v>219</v>
      </c>
      <c r="AB8" s="27"/>
    </row>
    <row r="9" customFormat="false" ht="15" hidden="false" customHeight="false" outlineLevel="0" collapsed="false">
      <c r="A9" s="23" t="n">
        <v>5</v>
      </c>
      <c r="B9" s="23" t="s">
        <v>220</v>
      </c>
      <c r="C9" s="23" t="s">
        <v>221</v>
      </c>
      <c r="D9" s="23" t="s">
        <v>214</v>
      </c>
      <c r="E9" s="23" t="s">
        <v>222</v>
      </c>
      <c r="F9" s="24" t="n">
        <v>67</v>
      </c>
      <c r="G9" s="24" t="n">
        <v>13</v>
      </c>
      <c r="H9" s="25" t="n">
        <v>17033</v>
      </c>
      <c r="I9" s="24" t="n">
        <v>1.7</v>
      </c>
      <c r="J9" s="24" t="n">
        <v>21.5</v>
      </c>
      <c r="K9" s="24" t="n">
        <v>30.3</v>
      </c>
      <c r="L9" s="24" t="n">
        <v>8.1</v>
      </c>
      <c r="M9" s="24" t="n">
        <v>0</v>
      </c>
      <c r="N9" s="26" t="n">
        <v>8.03</v>
      </c>
      <c r="O9" s="26" t="n">
        <v>5.22</v>
      </c>
      <c r="P9" s="23" t="n">
        <v>67</v>
      </c>
      <c r="Q9" s="23" t="n">
        <v>23</v>
      </c>
      <c r="R9" s="23" t="n">
        <v>24</v>
      </c>
      <c r="S9" s="27"/>
      <c r="T9" s="27"/>
      <c r="U9" s="27"/>
      <c r="V9" s="27"/>
      <c r="W9" s="28"/>
      <c r="X9" s="27"/>
      <c r="Y9" s="27"/>
      <c r="Z9" s="27"/>
      <c r="AA9" s="27" t="s">
        <v>223</v>
      </c>
      <c r="AB9" s="27"/>
    </row>
    <row r="10" customFormat="false" ht="15" hidden="false" customHeight="false" outlineLevel="0" collapsed="false">
      <c r="A10" s="23" t="n">
        <v>6</v>
      </c>
      <c r="B10" s="23" t="s">
        <v>224</v>
      </c>
      <c r="C10" s="23" t="s">
        <v>225</v>
      </c>
      <c r="D10" s="23" t="s">
        <v>214</v>
      </c>
      <c r="E10" s="23" t="s">
        <v>215</v>
      </c>
      <c r="F10" s="24" t="n">
        <v>88</v>
      </c>
      <c r="G10" s="24" t="n">
        <v>0</v>
      </c>
      <c r="H10" s="25" t="n">
        <v>46549</v>
      </c>
      <c r="I10" s="24" t="n">
        <v>2.8</v>
      </c>
      <c r="J10" s="24" t="n">
        <v>46.9</v>
      </c>
      <c r="K10" s="24" t="n">
        <v>71.4</v>
      </c>
      <c r="L10" s="24" t="n">
        <v>52.9</v>
      </c>
      <c r="M10" s="24" t="n">
        <v>2.8</v>
      </c>
      <c r="N10" s="26" t="n">
        <v>8.52</v>
      </c>
      <c r="O10" s="26" t="n">
        <v>8.34</v>
      </c>
      <c r="P10" s="23" t="n">
        <v>88</v>
      </c>
      <c r="Q10" s="23" t="n">
        <v>33</v>
      </c>
      <c r="R10" s="23" t="n">
        <v>33</v>
      </c>
      <c r="S10" s="27"/>
      <c r="T10" s="27"/>
      <c r="U10" s="27"/>
      <c r="V10" s="27"/>
      <c r="W10" s="28"/>
      <c r="X10" s="27"/>
      <c r="Y10" s="27"/>
      <c r="Z10" s="27"/>
      <c r="AA10" s="27" t="s">
        <v>226</v>
      </c>
      <c r="AB10" s="27"/>
    </row>
    <row r="11" customFormat="false" ht="15" hidden="false" customHeight="false" outlineLevel="0" collapsed="false">
      <c r="A11" s="23" t="n">
        <v>7</v>
      </c>
      <c r="B11" s="23" t="s">
        <v>227</v>
      </c>
      <c r="C11" s="23" t="s">
        <v>228</v>
      </c>
      <c r="D11" s="23" t="s">
        <v>214</v>
      </c>
      <c r="E11" s="23" t="s">
        <v>205</v>
      </c>
      <c r="F11" s="24" t="n">
        <v>77</v>
      </c>
      <c r="G11" s="24" t="n">
        <v>0</v>
      </c>
      <c r="H11" s="25" t="n">
        <v>38607</v>
      </c>
      <c r="I11" s="24" t="n">
        <v>0.1</v>
      </c>
      <c r="J11" s="24" t="n">
        <v>44.9</v>
      </c>
      <c r="K11" s="24" t="n">
        <v>59.7</v>
      </c>
      <c r="L11" s="24" t="n">
        <v>11.7</v>
      </c>
      <c r="M11" s="24" t="n">
        <v>0</v>
      </c>
      <c r="N11" s="26" t="n">
        <v>11.55</v>
      </c>
      <c r="O11" s="26" t="n">
        <v>6.05</v>
      </c>
      <c r="P11" s="29" t="n">
        <v>76</v>
      </c>
      <c r="Q11" s="23" t="n">
        <v>49</v>
      </c>
      <c r="R11" s="23" t="n">
        <v>88</v>
      </c>
      <c r="S11" s="27"/>
      <c r="T11" s="27"/>
      <c r="U11" s="27"/>
      <c r="V11" s="27"/>
      <c r="W11" s="28"/>
      <c r="X11" s="27"/>
      <c r="Y11" s="27"/>
      <c r="Z11" s="27"/>
      <c r="AA11" s="27" t="s">
        <v>229</v>
      </c>
      <c r="AB11" s="27"/>
    </row>
    <row r="12" customFormat="false" ht="15" hidden="false" customHeight="false" outlineLevel="0" collapsed="false">
      <c r="A12" s="23" t="n">
        <v>8</v>
      </c>
      <c r="B12" s="23" t="s">
        <v>230</v>
      </c>
      <c r="C12" s="23" t="s">
        <v>231</v>
      </c>
      <c r="D12" s="23" t="s">
        <v>204</v>
      </c>
      <c r="E12" s="23" t="s">
        <v>222</v>
      </c>
      <c r="F12" s="24" t="n">
        <v>5</v>
      </c>
      <c r="G12" s="24" t="n">
        <v>0</v>
      </c>
      <c r="H12" s="25" t="n">
        <v>2345</v>
      </c>
      <c r="I12" s="24" t="n">
        <v>1.1</v>
      </c>
      <c r="J12" s="24" t="n">
        <v>0</v>
      </c>
      <c r="K12" s="24" t="n">
        <v>1.7</v>
      </c>
      <c r="L12" s="24" t="n">
        <v>0</v>
      </c>
      <c r="M12" s="24" t="n">
        <v>0</v>
      </c>
      <c r="N12" s="26" t="n">
        <v>10.02</v>
      </c>
      <c r="O12" s="26" t="n">
        <v>3.54</v>
      </c>
      <c r="P12" s="23" t="n">
        <v>5</v>
      </c>
      <c r="Q12" s="23" t="n">
        <v>49</v>
      </c>
      <c r="R12" s="23" t="n">
        <v>50</v>
      </c>
      <c r="S12" s="27"/>
      <c r="T12" s="27"/>
      <c r="U12" s="27"/>
      <c r="V12" s="27"/>
      <c r="W12" s="28"/>
      <c r="X12" s="27"/>
      <c r="Y12" s="27"/>
      <c r="Z12" s="27"/>
      <c r="AA12" s="27" t="s">
        <v>232</v>
      </c>
      <c r="AB12" s="27"/>
    </row>
    <row r="13" customFormat="false" ht="15" hidden="false" customHeight="false" outlineLevel="0" collapsed="false">
      <c r="A13" s="23" t="n">
        <v>9</v>
      </c>
      <c r="B13" s="23" t="s">
        <v>233</v>
      </c>
      <c r="C13" s="23" t="s">
        <v>234</v>
      </c>
      <c r="D13" s="23" t="s">
        <v>209</v>
      </c>
      <c r="E13" s="23" t="s">
        <v>210</v>
      </c>
      <c r="F13" s="24" t="n">
        <v>54</v>
      </c>
      <c r="G13" s="24" t="n">
        <v>2</v>
      </c>
      <c r="H13" s="25" t="n">
        <v>33743</v>
      </c>
      <c r="I13" s="24" t="n">
        <v>0.9</v>
      </c>
      <c r="J13" s="24" t="n">
        <v>33</v>
      </c>
      <c r="K13" s="24" t="n">
        <v>22.2</v>
      </c>
      <c r="L13" s="24" t="n">
        <v>8.9</v>
      </c>
      <c r="M13" s="24" t="n">
        <v>0</v>
      </c>
      <c r="N13" s="26" t="n">
        <v>9.1</v>
      </c>
      <c r="O13" s="26" t="n">
        <v>2.38</v>
      </c>
      <c r="P13" s="23" t="n">
        <v>54</v>
      </c>
      <c r="Q13" s="23" t="n">
        <v>17</v>
      </c>
      <c r="R13" s="23" t="n">
        <v>17</v>
      </c>
      <c r="S13" s="27"/>
      <c r="T13" s="27"/>
      <c r="U13" s="27"/>
      <c r="V13" s="27"/>
      <c r="W13" s="28"/>
      <c r="X13" s="27"/>
      <c r="Y13" s="27"/>
      <c r="Z13" s="27"/>
      <c r="AA13" s="27" t="s">
        <v>235</v>
      </c>
      <c r="AB13" s="27"/>
    </row>
    <row r="14" customFormat="false" ht="15" hidden="false" customHeight="false" outlineLevel="0" collapsed="false">
      <c r="A14" s="23" t="n">
        <v>10</v>
      </c>
      <c r="B14" s="23" t="s">
        <v>236</v>
      </c>
      <c r="C14" s="23" t="s">
        <v>237</v>
      </c>
      <c r="D14" s="23" t="s">
        <v>238</v>
      </c>
      <c r="E14" s="23" t="s">
        <v>205</v>
      </c>
      <c r="F14" s="24" t="n">
        <v>41</v>
      </c>
      <c r="G14" s="24" t="n">
        <v>0</v>
      </c>
      <c r="H14" s="25" t="n">
        <v>21966</v>
      </c>
      <c r="I14" s="24" t="n">
        <v>0.4</v>
      </c>
      <c r="J14" s="24" t="n">
        <v>17.5</v>
      </c>
      <c r="K14" s="24" t="n">
        <v>22.6</v>
      </c>
      <c r="L14" s="24" t="n">
        <v>9.6</v>
      </c>
      <c r="M14" s="24" t="n">
        <v>0</v>
      </c>
      <c r="N14" s="26" t="n">
        <v>10.92</v>
      </c>
      <c r="O14" s="26" t="n">
        <v>3.53</v>
      </c>
      <c r="P14" s="23" t="n">
        <v>41</v>
      </c>
      <c r="Q14" s="23" t="n">
        <v>17</v>
      </c>
      <c r="R14" s="23" t="n">
        <v>27</v>
      </c>
      <c r="S14" s="27"/>
      <c r="T14" s="27"/>
      <c r="U14" s="27"/>
      <c r="V14" s="27"/>
      <c r="W14" s="28"/>
      <c r="X14" s="27"/>
      <c r="Y14" s="27"/>
      <c r="Z14" s="27"/>
      <c r="AA14" s="27" t="s">
        <v>239</v>
      </c>
      <c r="AB14" s="27"/>
    </row>
    <row r="15" customFormat="false" ht="15" hidden="false" customHeight="false" outlineLevel="0" collapsed="false">
      <c r="A15" s="23" t="n">
        <v>11</v>
      </c>
      <c r="B15" s="23" t="s">
        <v>240</v>
      </c>
      <c r="C15" s="23" t="s">
        <v>241</v>
      </c>
      <c r="D15" s="23" t="s">
        <v>209</v>
      </c>
      <c r="E15" s="23" t="s">
        <v>215</v>
      </c>
      <c r="F15" s="24" t="n">
        <v>10</v>
      </c>
      <c r="G15" s="24" t="n">
        <v>0</v>
      </c>
      <c r="H15" s="25" t="n">
        <v>6123</v>
      </c>
      <c r="I15" s="24" t="n">
        <v>0</v>
      </c>
      <c r="J15" s="24" t="n">
        <v>1.6</v>
      </c>
      <c r="K15" s="24" t="n">
        <v>5.1</v>
      </c>
      <c r="L15" s="24" t="n">
        <v>5</v>
      </c>
      <c r="M15" s="24" t="n">
        <v>0</v>
      </c>
      <c r="N15" s="26" t="n">
        <v>8.11</v>
      </c>
      <c r="O15" s="26" t="n">
        <v>9.91</v>
      </c>
      <c r="P15" s="23" t="n">
        <v>10</v>
      </c>
      <c r="Q15" s="23" t="n">
        <v>33</v>
      </c>
      <c r="R15" s="23" t="n">
        <v>12</v>
      </c>
      <c r="S15" s="27"/>
      <c r="T15" s="27"/>
      <c r="U15" s="27"/>
      <c r="V15" s="27"/>
      <c r="W15" s="28"/>
      <c r="X15" s="27"/>
      <c r="Y15" s="27"/>
      <c r="Z15" s="27"/>
      <c r="AA15" s="27" t="s">
        <v>242</v>
      </c>
      <c r="AB15" s="27"/>
    </row>
    <row r="16" customFormat="false" ht="15" hidden="false" customHeight="false" outlineLevel="0" collapsed="false">
      <c r="A16" s="23" t="n">
        <v>12</v>
      </c>
      <c r="B16" s="23" t="s">
        <v>243</v>
      </c>
      <c r="C16" s="23" t="s">
        <v>244</v>
      </c>
      <c r="D16" s="23" t="s">
        <v>209</v>
      </c>
      <c r="E16" s="23" t="s">
        <v>205</v>
      </c>
      <c r="F16" s="24" t="n">
        <v>19</v>
      </c>
      <c r="G16" s="24" t="n">
        <v>0</v>
      </c>
      <c r="H16" s="25" t="n">
        <v>11021</v>
      </c>
      <c r="I16" s="24" t="n">
        <v>0</v>
      </c>
      <c r="J16" s="24" t="n">
        <v>2.9</v>
      </c>
      <c r="K16" s="24" t="n">
        <v>8.6</v>
      </c>
      <c r="L16" s="24" t="n">
        <v>14.6</v>
      </c>
      <c r="M16" s="24" t="n">
        <v>0</v>
      </c>
      <c r="N16" s="26" t="n">
        <v>8.03</v>
      </c>
      <c r="O16" s="26" t="n">
        <v>9.59</v>
      </c>
      <c r="P16" s="23" t="n">
        <v>19</v>
      </c>
      <c r="Q16" s="23" t="n">
        <v>33</v>
      </c>
      <c r="R16" s="23" t="n">
        <v>13</v>
      </c>
      <c r="S16" s="27"/>
      <c r="T16" s="27"/>
      <c r="U16" s="27"/>
      <c r="V16" s="27"/>
      <c r="W16" s="28"/>
      <c r="X16" s="27"/>
      <c r="Y16" s="27"/>
      <c r="Z16" s="27"/>
      <c r="AA16" s="27" t="s">
        <v>245</v>
      </c>
      <c r="AB16" s="27"/>
    </row>
    <row r="17" customFormat="false" ht="15" hidden="false" customHeight="false" outlineLevel="0" collapsed="false">
      <c r="A17" s="23" t="n">
        <v>13</v>
      </c>
      <c r="B17" s="23" t="s">
        <v>246</v>
      </c>
      <c r="C17" s="23" t="s">
        <v>247</v>
      </c>
      <c r="D17" s="23" t="s">
        <v>204</v>
      </c>
      <c r="E17" s="23" t="s">
        <v>205</v>
      </c>
      <c r="F17" s="24" t="n">
        <v>96</v>
      </c>
      <c r="G17" s="24" t="n">
        <v>2</v>
      </c>
      <c r="H17" s="25" t="n">
        <v>48263</v>
      </c>
      <c r="I17" s="24" t="n">
        <v>5.7</v>
      </c>
      <c r="J17" s="24" t="n">
        <v>27.5</v>
      </c>
      <c r="K17" s="24" t="n">
        <v>44.1</v>
      </c>
      <c r="L17" s="24" t="n">
        <v>37</v>
      </c>
      <c r="M17" s="24" t="n">
        <v>0.9</v>
      </c>
      <c r="N17" s="26" t="n">
        <v>8.11</v>
      </c>
      <c r="O17" s="26" t="n">
        <v>9.33</v>
      </c>
      <c r="P17" s="23" t="n">
        <v>96</v>
      </c>
      <c r="Q17" s="23" t="n">
        <v>33</v>
      </c>
      <c r="R17" s="23" t="n">
        <v>33</v>
      </c>
      <c r="S17" s="27"/>
      <c r="T17" s="27"/>
      <c r="U17" s="27"/>
      <c r="V17" s="27"/>
      <c r="W17" s="28"/>
      <c r="X17" s="27"/>
      <c r="Y17" s="27"/>
      <c r="Z17" s="27"/>
      <c r="AA17" s="27" t="s">
        <v>248</v>
      </c>
      <c r="AB17" s="27"/>
    </row>
    <row r="18" customFormat="false" ht="15" hidden="false" customHeight="false" outlineLevel="0" collapsed="false">
      <c r="A18" s="23" t="n">
        <v>14</v>
      </c>
      <c r="B18" s="23" t="s">
        <v>249</v>
      </c>
      <c r="C18" s="23" t="s">
        <v>250</v>
      </c>
      <c r="D18" s="23" t="s">
        <v>209</v>
      </c>
      <c r="E18" s="23" t="s">
        <v>251</v>
      </c>
      <c r="F18" s="24" t="n">
        <v>16</v>
      </c>
      <c r="G18" s="24" t="n">
        <v>0</v>
      </c>
      <c r="H18" s="25" t="n">
        <v>12898</v>
      </c>
      <c r="I18" s="24" t="n">
        <v>0</v>
      </c>
      <c r="J18" s="24" t="n">
        <v>2.8</v>
      </c>
      <c r="K18" s="24" t="n">
        <v>9.7</v>
      </c>
      <c r="L18" s="24" t="n">
        <v>6.2</v>
      </c>
      <c r="M18" s="24" t="n">
        <v>0</v>
      </c>
      <c r="N18" s="26" t="n">
        <v>9.37</v>
      </c>
      <c r="O18" s="26" t="n">
        <v>2.57</v>
      </c>
      <c r="P18" s="23" t="n">
        <v>16</v>
      </c>
      <c r="Q18" s="23" t="n">
        <v>73</v>
      </c>
      <c r="R18" s="23" t="n">
        <v>68</v>
      </c>
      <c r="S18" s="27"/>
      <c r="T18" s="27"/>
      <c r="U18" s="27"/>
      <c r="V18" s="27"/>
      <c r="W18" s="28"/>
      <c r="X18" s="27"/>
      <c r="Y18" s="27"/>
      <c r="Z18" s="27"/>
      <c r="AA18" s="27" t="s">
        <v>252</v>
      </c>
      <c r="AB18" s="27"/>
    </row>
    <row r="19" customFormat="false" ht="15" hidden="false" customHeight="false" outlineLevel="0" collapsed="false">
      <c r="A19" s="23" t="n">
        <v>15</v>
      </c>
      <c r="B19" s="23" t="s">
        <v>253</v>
      </c>
      <c r="C19" s="23" t="s">
        <v>254</v>
      </c>
      <c r="D19" s="23" t="s">
        <v>214</v>
      </c>
      <c r="E19" s="23" t="s">
        <v>205</v>
      </c>
      <c r="F19" s="24" t="n">
        <v>14</v>
      </c>
      <c r="G19" s="24" t="n">
        <v>1</v>
      </c>
      <c r="H19" s="25" t="n">
        <v>7551</v>
      </c>
      <c r="I19" s="24" t="n">
        <v>0</v>
      </c>
      <c r="J19" s="24" t="n">
        <v>12.6</v>
      </c>
      <c r="K19" s="24" t="n">
        <v>3.3</v>
      </c>
      <c r="L19" s="24" t="n">
        <v>3.2</v>
      </c>
      <c r="M19" s="24" t="n">
        <v>0</v>
      </c>
      <c r="N19" s="26" t="n">
        <v>10.6</v>
      </c>
      <c r="O19" s="26" t="n">
        <v>5.33</v>
      </c>
      <c r="P19" s="23" t="n">
        <v>14</v>
      </c>
      <c r="Q19" s="23" t="n">
        <v>28</v>
      </c>
      <c r="R19" s="23" t="n">
        <v>83</v>
      </c>
      <c r="S19" s="27"/>
      <c r="T19" s="27"/>
      <c r="U19" s="27"/>
      <c r="V19" s="27"/>
      <c r="W19" s="28"/>
      <c r="X19" s="27"/>
      <c r="Y19" s="27"/>
      <c r="Z19" s="27"/>
      <c r="AA19" s="27" t="s">
        <v>255</v>
      </c>
      <c r="AB19" s="27"/>
    </row>
    <row r="20" customFormat="false" ht="15" hidden="false" customHeight="false" outlineLevel="0" collapsed="false">
      <c r="A20" s="23" t="n">
        <v>16</v>
      </c>
      <c r="B20" s="23" t="s">
        <v>256</v>
      </c>
      <c r="C20" s="23" t="s">
        <v>257</v>
      </c>
      <c r="D20" s="23" t="s">
        <v>209</v>
      </c>
      <c r="E20" s="23" t="s">
        <v>205</v>
      </c>
      <c r="F20" s="24" t="n">
        <v>130</v>
      </c>
      <c r="G20" s="24" t="n">
        <v>17</v>
      </c>
      <c r="H20" s="25" t="n">
        <v>55513</v>
      </c>
      <c r="I20" s="24" t="n">
        <v>5</v>
      </c>
      <c r="J20" s="24" t="n">
        <v>38.9</v>
      </c>
      <c r="K20" s="24" t="n">
        <v>45.7</v>
      </c>
      <c r="L20" s="24" t="n">
        <v>47</v>
      </c>
      <c r="M20" s="24" t="n">
        <v>0.1</v>
      </c>
      <c r="N20" s="26" t="n">
        <v>0.27</v>
      </c>
      <c r="O20" s="26" t="n">
        <v>3.02</v>
      </c>
      <c r="P20" s="29" t="n">
        <v>139</v>
      </c>
      <c r="Q20" s="23" t="n">
        <v>16</v>
      </c>
      <c r="R20" s="23"/>
      <c r="S20" s="27"/>
      <c r="T20" s="27"/>
      <c r="U20" s="27"/>
      <c r="V20" s="27"/>
      <c r="W20" s="28"/>
      <c r="X20" s="27"/>
      <c r="Y20" s="27"/>
      <c r="Z20" s="27"/>
      <c r="AA20" s="27" t="s">
        <v>258</v>
      </c>
      <c r="AB20" s="27"/>
    </row>
    <row r="21" customFormat="false" ht="15" hidden="false" customHeight="false" outlineLevel="0" collapsed="false">
      <c r="A21" s="23" t="n">
        <v>17</v>
      </c>
      <c r="B21" s="23" t="s">
        <v>259</v>
      </c>
      <c r="C21" s="23" t="s">
        <v>260</v>
      </c>
      <c r="D21" s="23" t="s">
        <v>204</v>
      </c>
      <c r="E21" s="23" t="s">
        <v>215</v>
      </c>
      <c r="F21" s="24" t="n">
        <v>56</v>
      </c>
      <c r="G21" s="24" t="n">
        <v>3</v>
      </c>
      <c r="H21" s="25" t="n">
        <v>30065</v>
      </c>
      <c r="I21" s="24" t="n">
        <v>0</v>
      </c>
      <c r="J21" s="24" t="n">
        <v>16.8</v>
      </c>
      <c r="K21" s="24" t="n">
        <v>54.2</v>
      </c>
      <c r="L21" s="24" t="n">
        <v>3.3</v>
      </c>
      <c r="M21" s="24" t="n">
        <v>0</v>
      </c>
      <c r="N21" s="26" t="n">
        <v>9.78</v>
      </c>
      <c r="O21" s="26" t="n">
        <v>1.18</v>
      </c>
      <c r="P21" s="23" t="n">
        <v>56</v>
      </c>
      <c r="Q21" s="23" t="n">
        <v>17</v>
      </c>
      <c r="R21" s="23"/>
      <c r="S21" s="27"/>
      <c r="T21" s="27"/>
      <c r="U21" s="27"/>
      <c r="V21" s="27"/>
      <c r="W21" s="28"/>
      <c r="X21" s="27"/>
      <c r="Y21" s="27"/>
      <c r="Z21" s="27"/>
      <c r="AA21" s="27" t="s">
        <v>261</v>
      </c>
      <c r="AB21" s="27"/>
    </row>
    <row r="22" customFormat="false" ht="15" hidden="false" customHeight="false" outlineLevel="0" collapsed="false">
      <c r="A22" s="23" t="n">
        <v>18</v>
      </c>
      <c r="B22" s="23" t="s">
        <v>262</v>
      </c>
      <c r="C22" s="23" t="s">
        <v>263</v>
      </c>
      <c r="D22" s="23" t="s">
        <v>204</v>
      </c>
      <c r="E22" s="23" t="s">
        <v>222</v>
      </c>
      <c r="F22" s="24" t="n">
        <v>64</v>
      </c>
      <c r="G22" s="24" t="n">
        <v>0</v>
      </c>
      <c r="H22" s="25" t="n">
        <v>32712</v>
      </c>
      <c r="I22" s="24" t="n">
        <v>0.3</v>
      </c>
      <c r="J22" s="24" t="n">
        <v>28.5</v>
      </c>
      <c r="K22" s="24" t="n">
        <v>44.4</v>
      </c>
      <c r="L22" s="24" t="n">
        <v>14.5</v>
      </c>
      <c r="M22" s="24" t="n">
        <v>0</v>
      </c>
      <c r="N22" s="26" t="n">
        <v>7.78</v>
      </c>
      <c r="O22" s="26" t="n">
        <v>1.54</v>
      </c>
      <c r="P22" s="23" t="n">
        <v>64</v>
      </c>
      <c r="Q22" s="23" t="n">
        <v>73</v>
      </c>
      <c r="R22" s="23" t="n">
        <v>73</v>
      </c>
      <c r="S22" s="27"/>
      <c r="T22" s="27"/>
      <c r="U22" s="27"/>
      <c r="V22" s="27"/>
      <c r="W22" s="28"/>
      <c r="X22" s="27"/>
      <c r="Y22" s="27"/>
      <c r="Z22" s="27"/>
      <c r="AA22" s="27" t="s">
        <v>264</v>
      </c>
      <c r="AB22" s="27"/>
    </row>
    <row r="23" customFormat="false" ht="15" hidden="false" customHeight="false" outlineLevel="0" collapsed="false">
      <c r="A23" s="23" t="n">
        <v>19</v>
      </c>
      <c r="B23" s="23" t="s">
        <v>265</v>
      </c>
      <c r="C23" s="23" t="s">
        <v>266</v>
      </c>
      <c r="D23" s="23" t="s">
        <v>214</v>
      </c>
      <c r="E23" s="23" t="s">
        <v>205</v>
      </c>
      <c r="F23" s="24" t="n">
        <v>35</v>
      </c>
      <c r="G23" s="24" t="n">
        <v>0</v>
      </c>
      <c r="H23" s="25" t="n">
        <v>15539</v>
      </c>
      <c r="I23" s="24" t="n">
        <v>1.3</v>
      </c>
      <c r="J23" s="24" t="n">
        <v>4.4</v>
      </c>
      <c r="K23" s="24" t="n">
        <v>30.4</v>
      </c>
      <c r="L23" s="24" t="n">
        <v>6.9</v>
      </c>
      <c r="M23" s="24" t="n">
        <v>0</v>
      </c>
      <c r="N23" s="26" t="n">
        <v>10.78</v>
      </c>
      <c r="O23" s="26" t="n">
        <v>6.72</v>
      </c>
      <c r="P23" s="23" t="n">
        <v>35</v>
      </c>
      <c r="Q23" s="23" t="n">
        <v>81</v>
      </c>
      <c r="R23" s="23" t="n">
        <v>81</v>
      </c>
      <c r="S23" s="27"/>
      <c r="T23" s="27"/>
      <c r="U23" s="27"/>
      <c r="V23" s="27"/>
      <c r="W23" s="28"/>
      <c r="X23" s="27"/>
      <c r="Y23" s="27"/>
      <c r="Z23" s="27"/>
      <c r="AA23" s="27" t="s">
        <v>267</v>
      </c>
      <c r="AB23" s="27"/>
    </row>
    <row r="24" customFormat="false" ht="15" hidden="false" customHeight="false" outlineLevel="0" collapsed="false">
      <c r="A24" s="23" t="n">
        <v>20</v>
      </c>
      <c r="B24" s="23" t="s">
        <v>268</v>
      </c>
      <c r="C24" s="23" t="s">
        <v>269</v>
      </c>
      <c r="D24" s="23" t="s">
        <v>204</v>
      </c>
      <c r="E24" s="23" t="s">
        <v>205</v>
      </c>
      <c r="F24" s="24" t="n">
        <v>86</v>
      </c>
      <c r="G24" s="24" t="n">
        <v>1</v>
      </c>
      <c r="H24" s="25" t="n">
        <v>49614</v>
      </c>
      <c r="I24" s="24" t="n">
        <v>5.4</v>
      </c>
      <c r="J24" s="24" t="n">
        <v>44.2</v>
      </c>
      <c r="K24" s="24" t="n">
        <v>38.1</v>
      </c>
      <c r="L24" s="24" t="n">
        <v>20.6</v>
      </c>
      <c r="M24" s="24" t="n">
        <v>0</v>
      </c>
      <c r="N24" s="26" t="n">
        <v>9.3</v>
      </c>
      <c r="O24" s="26" t="n">
        <v>1.65</v>
      </c>
      <c r="P24" s="23" t="n">
        <v>86</v>
      </c>
      <c r="Q24" s="23" t="n">
        <v>41</v>
      </c>
      <c r="R24" s="23" t="n">
        <v>41</v>
      </c>
      <c r="S24" s="27"/>
      <c r="T24" s="27"/>
      <c r="U24" s="27"/>
      <c r="V24" s="27"/>
      <c r="W24" s="28"/>
      <c r="X24" s="27"/>
      <c r="Y24" s="27"/>
      <c r="Z24" s="27"/>
      <c r="AA24" s="27" t="s">
        <v>270</v>
      </c>
      <c r="AB24" s="27"/>
    </row>
    <row r="25" customFormat="false" ht="15" hidden="false" customHeight="false" outlineLevel="0" collapsed="false">
      <c r="A25" s="23" t="n">
        <v>21</v>
      </c>
      <c r="B25" s="23" t="s">
        <v>271</v>
      </c>
      <c r="C25" s="23" t="s">
        <v>272</v>
      </c>
      <c r="D25" s="23" t="s">
        <v>204</v>
      </c>
      <c r="E25" s="23" t="s">
        <v>215</v>
      </c>
      <c r="F25" s="24" t="n">
        <v>75</v>
      </c>
      <c r="G25" s="24" t="n">
        <v>1</v>
      </c>
      <c r="H25" s="25" t="n">
        <v>34343</v>
      </c>
      <c r="I25" s="24" t="n">
        <v>0</v>
      </c>
      <c r="J25" s="24" t="n">
        <v>37.3</v>
      </c>
      <c r="K25" s="24" t="n">
        <v>42.3</v>
      </c>
      <c r="L25" s="24" t="n">
        <v>32.1</v>
      </c>
      <c r="M25" s="24" t="n">
        <v>0.3</v>
      </c>
      <c r="N25" s="26" t="n">
        <v>8.22</v>
      </c>
      <c r="O25" s="26" t="n">
        <v>9.04</v>
      </c>
      <c r="P25" s="23" t="n">
        <v>75</v>
      </c>
      <c r="Q25" s="23" t="n">
        <v>33</v>
      </c>
      <c r="R25" s="23" t="n">
        <v>33</v>
      </c>
      <c r="S25" s="27"/>
      <c r="T25" s="27"/>
      <c r="U25" s="27"/>
      <c r="V25" s="27"/>
      <c r="W25" s="28"/>
      <c r="X25" s="27"/>
      <c r="Y25" s="27"/>
      <c r="Z25" s="27"/>
      <c r="AA25" s="27" t="s">
        <v>273</v>
      </c>
      <c r="AB25" s="27"/>
    </row>
    <row r="26" customFormat="false" ht="15" hidden="false" customHeight="false" outlineLevel="0" collapsed="false">
      <c r="A26" s="23" t="n">
        <v>22</v>
      </c>
      <c r="B26" s="23" t="s">
        <v>274</v>
      </c>
      <c r="C26" s="23" t="s">
        <v>275</v>
      </c>
      <c r="D26" s="23" t="s">
        <v>204</v>
      </c>
      <c r="E26" s="23" t="s">
        <v>222</v>
      </c>
      <c r="F26" s="24" t="n">
        <v>38</v>
      </c>
      <c r="G26" s="24" t="n">
        <v>1</v>
      </c>
      <c r="H26" s="25" t="n">
        <v>20436</v>
      </c>
      <c r="I26" s="24" t="n">
        <v>1.2</v>
      </c>
      <c r="J26" s="24" t="n">
        <v>13.9</v>
      </c>
      <c r="K26" s="24" t="n">
        <v>21.9</v>
      </c>
      <c r="L26" s="24" t="n">
        <v>11.6</v>
      </c>
      <c r="M26" s="24" t="n">
        <v>0</v>
      </c>
      <c r="N26" s="26" t="n">
        <v>9.53</v>
      </c>
      <c r="O26" s="26" t="n">
        <v>0.95</v>
      </c>
      <c r="P26" s="23" t="n">
        <v>38</v>
      </c>
      <c r="Q26" s="23" t="n">
        <v>22</v>
      </c>
      <c r="R26" s="23"/>
      <c r="S26" s="27"/>
      <c r="T26" s="27"/>
      <c r="U26" s="27"/>
      <c r="V26" s="27"/>
      <c r="W26" s="28"/>
      <c r="X26" s="27"/>
      <c r="Y26" s="27"/>
      <c r="Z26" s="27"/>
      <c r="AA26" s="27" t="s">
        <v>276</v>
      </c>
      <c r="AB26" s="27"/>
    </row>
    <row r="27" customFormat="false" ht="15" hidden="false" customHeight="false" outlineLevel="0" collapsed="false">
      <c r="A27" s="23" t="n">
        <v>23</v>
      </c>
      <c r="B27" s="23" t="s">
        <v>277</v>
      </c>
      <c r="C27" s="23" t="s">
        <v>278</v>
      </c>
      <c r="D27" s="23" t="s">
        <v>214</v>
      </c>
      <c r="E27" s="23" t="s">
        <v>205</v>
      </c>
      <c r="F27" s="24" t="n">
        <v>123</v>
      </c>
      <c r="G27" s="24" t="n">
        <v>0</v>
      </c>
      <c r="H27" s="25" t="n">
        <v>63177</v>
      </c>
      <c r="I27" s="24" t="n">
        <v>6.1</v>
      </c>
      <c r="J27" s="24" t="n">
        <v>44.7</v>
      </c>
      <c r="K27" s="24" t="n">
        <v>81.9</v>
      </c>
      <c r="L27" s="24" t="n">
        <v>49.7</v>
      </c>
      <c r="M27" s="24" t="n">
        <v>0</v>
      </c>
      <c r="N27" s="26" t="n">
        <v>7.81</v>
      </c>
      <c r="O27" s="26" t="n">
        <v>4.85</v>
      </c>
      <c r="P27" s="23" t="n">
        <v>123</v>
      </c>
      <c r="Q27" s="23" t="n">
        <v>23</v>
      </c>
      <c r="R27" s="23"/>
      <c r="S27" s="27"/>
      <c r="T27" s="27"/>
      <c r="U27" s="27"/>
      <c r="V27" s="27"/>
      <c r="W27" s="28"/>
      <c r="X27" s="27"/>
      <c r="Y27" s="27"/>
      <c r="Z27" s="27"/>
      <c r="AA27" s="27" t="s">
        <v>279</v>
      </c>
      <c r="AB27" s="27"/>
    </row>
    <row r="28" customFormat="false" ht="15" hidden="false" customHeight="false" outlineLevel="0" collapsed="false">
      <c r="A28" s="23" t="n">
        <v>24</v>
      </c>
      <c r="B28" s="23" t="s">
        <v>280</v>
      </c>
      <c r="C28" s="23" t="s">
        <v>281</v>
      </c>
      <c r="D28" s="23" t="s">
        <v>214</v>
      </c>
      <c r="E28" s="23" t="s">
        <v>205</v>
      </c>
      <c r="F28" s="24" t="n">
        <v>99</v>
      </c>
      <c r="G28" s="24" t="n">
        <v>1</v>
      </c>
      <c r="H28" s="25" t="n">
        <v>49589</v>
      </c>
      <c r="I28" s="24" t="n">
        <v>4.8</v>
      </c>
      <c r="J28" s="24" t="n">
        <v>45.8</v>
      </c>
      <c r="K28" s="24" t="n">
        <v>49.2</v>
      </c>
      <c r="L28" s="24" t="n">
        <v>21.1</v>
      </c>
      <c r="M28" s="24" t="n">
        <v>0</v>
      </c>
      <c r="N28" s="26" t="n">
        <v>8.32</v>
      </c>
      <c r="O28" s="26" t="n">
        <v>4.92</v>
      </c>
      <c r="P28" s="23" t="n">
        <v>99</v>
      </c>
      <c r="Q28" s="23" t="n">
        <v>23</v>
      </c>
      <c r="R28" s="23" t="n">
        <v>23</v>
      </c>
      <c r="S28" s="27"/>
      <c r="T28" s="27"/>
      <c r="U28" s="27"/>
      <c r="V28" s="27"/>
      <c r="W28" s="28"/>
      <c r="X28" s="27"/>
      <c r="Y28" s="27"/>
      <c r="Z28" s="27"/>
      <c r="AA28" s="27" t="s">
        <v>282</v>
      </c>
      <c r="AB28" s="27"/>
    </row>
    <row r="29" customFormat="false" ht="15" hidden="false" customHeight="false" outlineLevel="0" collapsed="false">
      <c r="A29" s="23" t="n">
        <v>25</v>
      </c>
      <c r="B29" s="23" t="s">
        <v>283</v>
      </c>
      <c r="C29" s="23" t="s">
        <v>284</v>
      </c>
      <c r="D29" s="23" t="s">
        <v>214</v>
      </c>
      <c r="E29" s="23" t="s">
        <v>205</v>
      </c>
      <c r="F29" s="24" t="n">
        <v>14</v>
      </c>
      <c r="G29" s="24" t="n">
        <v>0</v>
      </c>
      <c r="H29" s="25" t="n">
        <v>4670</v>
      </c>
      <c r="I29" s="24" t="n">
        <v>0.5</v>
      </c>
      <c r="J29" s="24" t="n">
        <v>3.2</v>
      </c>
      <c r="K29" s="24" t="n">
        <v>8.8</v>
      </c>
      <c r="L29" s="24" t="n">
        <v>1.2</v>
      </c>
      <c r="M29" s="24" t="n">
        <v>0</v>
      </c>
      <c r="N29" s="26" t="n">
        <v>9.44</v>
      </c>
      <c r="O29" s="26" t="n">
        <v>4.39</v>
      </c>
      <c r="P29" s="23" t="n">
        <v>14</v>
      </c>
      <c r="Q29" s="23" t="n">
        <v>56</v>
      </c>
      <c r="R29" s="23" t="n">
        <v>56</v>
      </c>
      <c r="S29" s="27"/>
      <c r="T29" s="27"/>
      <c r="U29" s="27"/>
      <c r="V29" s="27"/>
      <c r="W29" s="28"/>
      <c r="X29" s="27"/>
      <c r="Y29" s="27"/>
      <c r="Z29" s="27"/>
      <c r="AA29" s="27" t="s">
        <v>285</v>
      </c>
      <c r="AB29" s="27"/>
    </row>
    <row r="30" customFormat="false" ht="15" hidden="false" customHeight="false" outlineLevel="0" collapsed="false">
      <c r="A30" s="23" t="n">
        <v>26</v>
      </c>
      <c r="B30" s="23" t="s">
        <v>286</v>
      </c>
      <c r="C30" s="23" t="s">
        <v>287</v>
      </c>
      <c r="D30" s="23" t="s">
        <v>214</v>
      </c>
      <c r="E30" s="23" t="s">
        <v>215</v>
      </c>
      <c r="F30" s="24" t="n">
        <v>32</v>
      </c>
      <c r="G30" s="24" t="n">
        <v>1</v>
      </c>
      <c r="H30" s="25" t="n">
        <v>9606</v>
      </c>
      <c r="I30" s="24" t="n">
        <v>0.2</v>
      </c>
      <c r="J30" s="24" t="n">
        <v>7.9</v>
      </c>
      <c r="K30" s="24" t="n">
        <v>18.3</v>
      </c>
      <c r="L30" s="24" t="n">
        <v>4.2</v>
      </c>
      <c r="M30" s="24" t="n">
        <v>0</v>
      </c>
      <c r="N30" s="26" t="n">
        <v>10.46</v>
      </c>
      <c r="O30" s="26" t="n">
        <v>3.81</v>
      </c>
      <c r="P30" s="23" t="n">
        <v>32</v>
      </c>
      <c r="Q30" s="23" t="n">
        <v>23</v>
      </c>
      <c r="R30" s="23" t="n">
        <v>55</v>
      </c>
      <c r="S30" s="27"/>
      <c r="T30" s="27"/>
      <c r="U30" s="27"/>
      <c r="V30" s="27"/>
      <c r="W30" s="28"/>
      <c r="X30" s="27"/>
      <c r="Y30" s="27"/>
      <c r="Z30" s="27"/>
      <c r="AA30" s="27" t="s">
        <v>288</v>
      </c>
      <c r="AB30" s="27"/>
    </row>
    <row r="31" customFormat="false" ht="15" hidden="false" customHeight="false" outlineLevel="0" collapsed="false">
      <c r="A31" s="23" t="n">
        <v>27</v>
      </c>
      <c r="B31" s="23" t="s">
        <v>289</v>
      </c>
      <c r="C31" s="23" t="s">
        <v>290</v>
      </c>
      <c r="D31" s="23" t="s">
        <v>214</v>
      </c>
      <c r="E31" s="23" t="s">
        <v>291</v>
      </c>
      <c r="F31" s="24" t="n">
        <v>42</v>
      </c>
      <c r="G31" s="24" t="n">
        <v>2</v>
      </c>
      <c r="H31" s="25" t="n">
        <v>15820</v>
      </c>
      <c r="I31" s="24" t="n">
        <v>0</v>
      </c>
      <c r="J31" s="24" t="n">
        <v>24</v>
      </c>
      <c r="K31" s="24" t="n">
        <v>26.7</v>
      </c>
      <c r="L31" s="24" t="n">
        <v>8.7</v>
      </c>
      <c r="M31" s="24" t="n">
        <v>0</v>
      </c>
      <c r="N31" s="26" t="n">
        <v>10.2</v>
      </c>
      <c r="O31" s="26" t="n">
        <v>2.67</v>
      </c>
      <c r="P31" s="23" t="n">
        <v>42</v>
      </c>
      <c r="Q31" s="23" t="n">
        <v>17</v>
      </c>
      <c r="R31" s="23" t="n">
        <v>9</v>
      </c>
      <c r="S31" s="27"/>
      <c r="T31" s="27"/>
      <c r="U31" s="27"/>
      <c r="V31" s="27"/>
      <c r="W31" s="28"/>
      <c r="X31" s="27"/>
      <c r="Y31" s="27"/>
      <c r="Z31" s="27"/>
      <c r="AA31" s="27" t="s">
        <v>292</v>
      </c>
      <c r="AB31" s="27"/>
    </row>
    <row r="32" customFormat="false" ht="15" hidden="false" customHeight="false" outlineLevel="0" collapsed="false">
      <c r="A32" s="23" t="n">
        <v>28</v>
      </c>
      <c r="B32" s="23" t="s">
        <v>293</v>
      </c>
      <c r="C32" s="23" t="s">
        <v>294</v>
      </c>
      <c r="D32" s="23" t="s">
        <v>204</v>
      </c>
      <c r="E32" s="23" t="s">
        <v>215</v>
      </c>
      <c r="F32" s="24" t="n">
        <v>99</v>
      </c>
      <c r="G32" s="24" t="n">
        <v>2</v>
      </c>
      <c r="H32" s="25" t="n">
        <v>40185</v>
      </c>
      <c r="I32" s="24" t="n">
        <v>0.8</v>
      </c>
      <c r="J32" s="24" t="n">
        <v>39.9</v>
      </c>
      <c r="K32" s="24" t="n">
        <v>46.1</v>
      </c>
      <c r="L32" s="24" t="n">
        <v>42.3</v>
      </c>
      <c r="M32" s="24" t="n">
        <v>0</v>
      </c>
      <c r="N32" s="26" t="n">
        <v>6.72</v>
      </c>
      <c r="O32" s="26" t="n">
        <v>7.19</v>
      </c>
      <c r="P32" s="29" t="n">
        <v>96</v>
      </c>
      <c r="Q32" s="23" t="n">
        <v>28</v>
      </c>
      <c r="R32" s="23"/>
      <c r="S32" s="27"/>
      <c r="T32" s="27"/>
      <c r="U32" s="27"/>
      <c r="V32" s="27"/>
      <c r="W32" s="28"/>
      <c r="X32" s="27"/>
      <c r="Y32" s="27"/>
      <c r="Z32" s="27"/>
      <c r="AA32" s="27" t="s">
        <v>295</v>
      </c>
      <c r="AB32" s="27"/>
    </row>
    <row r="33" customFormat="false" ht="15" hidden="false" customHeight="false" outlineLevel="0" collapsed="false">
      <c r="A33" s="23" t="n">
        <v>29</v>
      </c>
      <c r="B33" s="23" t="s">
        <v>296</v>
      </c>
      <c r="C33" s="23" t="s">
        <v>297</v>
      </c>
      <c r="D33" s="23" t="s">
        <v>214</v>
      </c>
      <c r="E33" s="23" t="s">
        <v>215</v>
      </c>
      <c r="F33" s="24" t="n">
        <v>92</v>
      </c>
      <c r="G33" s="24" t="n">
        <v>1</v>
      </c>
      <c r="H33" s="25" t="n">
        <v>43349</v>
      </c>
      <c r="I33" s="24" t="n">
        <v>4.4</v>
      </c>
      <c r="J33" s="24" t="n">
        <v>43.6</v>
      </c>
      <c r="K33" s="24" t="n">
        <v>42.2</v>
      </c>
      <c r="L33" s="24" t="n">
        <v>19.8</v>
      </c>
      <c r="M33" s="24" t="n">
        <v>0.4</v>
      </c>
      <c r="N33" s="26" t="n">
        <v>7.97</v>
      </c>
      <c r="O33" s="26" t="n">
        <v>6.74</v>
      </c>
      <c r="P33" s="29" t="n">
        <v>91</v>
      </c>
      <c r="Q33" s="23" t="n">
        <v>28</v>
      </c>
      <c r="R33" s="23" t="n">
        <v>28</v>
      </c>
      <c r="S33" s="27"/>
      <c r="T33" s="27"/>
      <c r="U33" s="27"/>
      <c r="V33" s="27"/>
      <c r="W33" s="28"/>
      <c r="X33" s="27"/>
      <c r="Y33" s="27"/>
      <c r="Z33" s="27"/>
      <c r="AA33" s="27" t="s">
        <v>298</v>
      </c>
      <c r="AB33" s="27"/>
    </row>
    <row r="34" customFormat="false" ht="15" hidden="false" customHeight="false" outlineLevel="0" collapsed="false">
      <c r="A34" s="23" t="n">
        <v>30</v>
      </c>
      <c r="B34" s="23" t="s">
        <v>299</v>
      </c>
      <c r="C34" s="23" t="s">
        <v>300</v>
      </c>
      <c r="D34" s="23" t="s">
        <v>214</v>
      </c>
      <c r="E34" s="23" t="s">
        <v>205</v>
      </c>
      <c r="F34" s="24" t="n">
        <v>190</v>
      </c>
      <c r="G34" s="24" t="n">
        <v>5</v>
      </c>
      <c r="H34" s="25" t="n">
        <v>99039</v>
      </c>
      <c r="I34" s="24" t="n">
        <v>7.9</v>
      </c>
      <c r="J34" s="24" t="n">
        <v>61.8</v>
      </c>
      <c r="K34" s="24" t="n">
        <v>79.2</v>
      </c>
      <c r="L34" s="24" t="n">
        <v>81.3</v>
      </c>
      <c r="M34" s="24" t="n">
        <v>1.1</v>
      </c>
      <c r="N34" s="26" t="n">
        <v>8.64</v>
      </c>
      <c r="O34" s="26" t="n">
        <v>6.96</v>
      </c>
      <c r="P34" s="23" t="n">
        <v>190</v>
      </c>
      <c r="Q34" s="23" t="n">
        <v>30</v>
      </c>
      <c r="R34" s="23"/>
      <c r="S34" s="27"/>
      <c r="T34" s="27"/>
      <c r="U34" s="27"/>
      <c r="V34" s="27"/>
      <c r="W34" s="28"/>
      <c r="X34" s="27"/>
      <c r="Y34" s="27"/>
      <c r="Z34" s="27"/>
      <c r="AA34" s="27" t="s">
        <v>301</v>
      </c>
      <c r="AB34" s="27"/>
    </row>
    <row r="35" customFormat="false" ht="15" hidden="false" customHeight="false" outlineLevel="0" collapsed="false">
      <c r="A35" s="23" t="n">
        <v>31</v>
      </c>
      <c r="B35" s="23" t="s">
        <v>302</v>
      </c>
      <c r="C35" s="23" t="s">
        <v>303</v>
      </c>
      <c r="D35" s="23" t="s">
        <v>209</v>
      </c>
      <c r="E35" s="23" t="s">
        <v>205</v>
      </c>
      <c r="F35" s="24" t="n">
        <v>68</v>
      </c>
      <c r="G35" s="24" t="n">
        <v>4</v>
      </c>
      <c r="H35" s="25" t="n">
        <v>35041</v>
      </c>
      <c r="I35" s="24" t="n">
        <v>1.1</v>
      </c>
      <c r="J35" s="24" t="n">
        <v>24.4</v>
      </c>
      <c r="K35" s="24" t="n">
        <v>32.2</v>
      </c>
      <c r="L35" s="24" t="n">
        <v>21.3</v>
      </c>
      <c r="M35" s="24" t="n">
        <v>0</v>
      </c>
      <c r="N35" s="26" t="n">
        <v>9.65</v>
      </c>
      <c r="O35" s="26" t="n">
        <v>2.54</v>
      </c>
      <c r="P35" s="23" t="n">
        <v>68</v>
      </c>
      <c r="Q35" s="23" t="n">
        <v>41</v>
      </c>
      <c r="R35" s="23" t="n">
        <v>60</v>
      </c>
      <c r="S35" s="27"/>
      <c r="T35" s="27"/>
      <c r="U35" s="27"/>
      <c r="V35" s="27"/>
      <c r="W35" s="28"/>
      <c r="X35" s="27"/>
      <c r="Y35" s="27"/>
      <c r="Z35" s="27"/>
      <c r="AA35" s="27" t="s">
        <v>304</v>
      </c>
      <c r="AB35" s="27"/>
    </row>
    <row r="36" customFormat="false" ht="15" hidden="false" customHeight="false" outlineLevel="0" collapsed="false">
      <c r="A36" s="23" t="n">
        <v>32</v>
      </c>
      <c r="B36" s="23" t="s">
        <v>305</v>
      </c>
      <c r="C36" s="23" t="s">
        <v>306</v>
      </c>
      <c r="D36" s="23" t="s">
        <v>209</v>
      </c>
      <c r="E36" s="23" t="s">
        <v>205</v>
      </c>
      <c r="F36" s="24" t="n">
        <v>8</v>
      </c>
      <c r="G36" s="24" t="n">
        <v>0</v>
      </c>
      <c r="H36" s="25" t="n">
        <v>5992</v>
      </c>
      <c r="I36" s="24" t="n">
        <v>0</v>
      </c>
      <c r="J36" s="24" t="n">
        <v>0</v>
      </c>
      <c r="K36" s="24" t="n">
        <v>5.7</v>
      </c>
      <c r="L36" s="24" t="n">
        <v>1.5</v>
      </c>
      <c r="M36" s="24" t="n">
        <v>0</v>
      </c>
      <c r="N36" s="26" t="n">
        <v>7.35</v>
      </c>
      <c r="O36" s="26" t="n">
        <v>7.18</v>
      </c>
      <c r="P36" s="23" t="n">
        <v>8</v>
      </c>
      <c r="Q36" s="23" t="n">
        <v>28</v>
      </c>
      <c r="R36" s="23" t="n">
        <v>82</v>
      </c>
      <c r="S36" s="27"/>
      <c r="T36" s="27"/>
      <c r="U36" s="27"/>
      <c r="V36" s="27"/>
      <c r="W36" s="28"/>
      <c r="X36" s="27"/>
      <c r="Y36" s="27"/>
      <c r="Z36" s="27"/>
      <c r="AA36" s="27" t="s">
        <v>307</v>
      </c>
      <c r="AB36" s="27"/>
    </row>
    <row r="37" customFormat="false" ht="15" hidden="false" customHeight="false" outlineLevel="0" collapsed="false">
      <c r="A37" s="23" t="n">
        <v>33</v>
      </c>
      <c r="B37" s="23" t="s">
        <v>308</v>
      </c>
      <c r="C37" s="23" t="s">
        <v>309</v>
      </c>
      <c r="D37" s="23" t="s">
        <v>214</v>
      </c>
      <c r="E37" s="23" t="s">
        <v>215</v>
      </c>
      <c r="F37" s="24" t="n">
        <v>127</v>
      </c>
      <c r="G37" s="24" t="n">
        <v>1</v>
      </c>
      <c r="H37" s="25" t="n">
        <v>71463</v>
      </c>
      <c r="I37" s="24" t="n">
        <v>1.5</v>
      </c>
      <c r="J37" s="24" t="n">
        <v>54</v>
      </c>
      <c r="K37" s="24" t="n">
        <v>51.7</v>
      </c>
      <c r="L37" s="24" t="n">
        <v>49.4</v>
      </c>
      <c r="M37" s="24" t="n">
        <v>1.6</v>
      </c>
      <c r="N37" s="26" t="n">
        <v>8.35</v>
      </c>
      <c r="O37" s="26" t="n">
        <v>8.76</v>
      </c>
      <c r="P37" s="23" t="n">
        <v>127</v>
      </c>
      <c r="Q37" s="23" t="n">
        <v>33</v>
      </c>
      <c r="R37" s="23"/>
      <c r="S37" s="27"/>
      <c r="T37" s="27"/>
      <c r="U37" s="27"/>
      <c r="V37" s="27"/>
      <c r="W37" s="28"/>
      <c r="X37" s="27"/>
      <c r="Y37" s="27"/>
      <c r="Z37" s="27"/>
      <c r="AA37" s="27" t="s">
        <v>310</v>
      </c>
      <c r="AB37" s="27"/>
    </row>
    <row r="38" customFormat="false" ht="15" hidden="false" customHeight="false" outlineLevel="0" collapsed="false">
      <c r="A38" s="23" t="n">
        <v>34</v>
      </c>
      <c r="B38" s="23" t="s">
        <v>311</v>
      </c>
      <c r="C38" s="23" t="s">
        <v>312</v>
      </c>
      <c r="D38" s="23" t="s">
        <v>209</v>
      </c>
      <c r="E38" s="23" t="s">
        <v>205</v>
      </c>
      <c r="F38" s="24" t="n">
        <v>55</v>
      </c>
      <c r="G38" s="24" t="n">
        <v>6</v>
      </c>
      <c r="H38" s="25" t="n">
        <v>28864</v>
      </c>
      <c r="I38" s="24" t="n">
        <v>0</v>
      </c>
      <c r="J38" s="24" t="n">
        <v>30.6</v>
      </c>
      <c r="K38" s="24" t="n">
        <v>18.3</v>
      </c>
      <c r="L38" s="24" t="n">
        <v>6.9</v>
      </c>
      <c r="M38" s="24" t="n">
        <v>0</v>
      </c>
      <c r="N38" s="26" t="n">
        <v>9.86</v>
      </c>
      <c r="O38" s="26" t="n">
        <v>2.55</v>
      </c>
      <c r="P38" s="23" t="n">
        <v>55</v>
      </c>
      <c r="Q38" s="23" t="n">
        <v>49</v>
      </c>
      <c r="R38" s="23" t="n">
        <v>64</v>
      </c>
      <c r="S38" s="27"/>
      <c r="T38" s="27"/>
      <c r="U38" s="27"/>
      <c r="V38" s="27"/>
      <c r="W38" s="28"/>
      <c r="X38" s="27"/>
      <c r="Y38" s="27"/>
      <c r="Z38" s="27"/>
      <c r="AA38" s="27" t="s">
        <v>313</v>
      </c>
      <c r="AB38" s="27"/>
    </row>
    <row r="39" customFormat="false" ht="15" hidden="false" customHeight="false" outlineLevel="0" collapsed="false">
      <c r="A39" s="23" t="n">
        <v>35</v>
      </c>
      <c r="B39" s="23" t="s">
        <v>314</v>
      </c>
      <c r="C39" s="23" t="s">
        <v>315</v>
      </c>
      <c r="D39" s="23" t="s">
        <v>204</v>
      </c>
      <c r="E39" s="23" t="s">
        <v>215</v>
      </c>
      <c r="F39" s="24" t="n">
        <v>63</v>
      </c>
      <c r="G39" s="24" t="n">
        <v>1</v>
      </c>
      <c r="H39" s="25" t="n">
        <v>32286</v>
      </c>
      <c r="I39" s="24" t="n">
        <v>1.7</v>
      </c>
      <c r="J39" s="24" t="n">
        <v>20.7</v>
      </c>
      <c r="K39" s="24" t="n">
        <v>28.8</v>
      </c>
      <c r="L39" s="24" t="n">
        <v>20.9</v>
      </c>
      <c r="M39" s="24" t="n">
        <v>0</v>
      </c>
      <c r="N39" s="26" t="n">
        <v>8.93</v>
      </c>
      <c r="O39" s="26" t="n">
        <v>1.91</v>
      </c>
      <c r="P39" s="23" t="n">
        <v>63</v>
      </c>
      <c r="Q39" s="23" t="n">
        <v>41</v>
      </c>
      <c r="R39" s="23" t="n">
        <v>2</v>
      </c>
      <c r="S39" s="27"/>
      <c r="T39" s="27"/>
      <c r="U39" s="27"/>
      <c r="V39" s="27"/>
      <c r="W39" s="28"/>
      <c r="X39" s="27"/>
      <c r="Y39" s="27"/>
      <c r="Z39" s="27"/>
      <c r="AA39" s="27" t="s">
        <v>316</v>
      </c>
      <c r="AB39" s="27"/>
    </row>
    <row r="40" customFormat="false" ht="15" hidden="false" customHeight="false" outlineLevel="0" collapsed="false">
      <c r="A40" s="23" t="n">
        <v>36</v>
      </c>
      <c r="B40" s="23" t="s">
        <v>317</v>
      </c>
      <c r="C40" s="23" t="s">
        <v>318</v>
      </c>
      <c r="D40" s="23" t="s">
        <v>214</v>
      </c>
      <c r="E40" s="23" t="s">
        <v>291</v>
      </c>
      <c r="F40" s="24" t="n">
        <v>64</v>
      </c>
      <c r="G40" s="24" t="n">
        <v>1</v>
      </c>
      <c r="H40" s="25" t="n">
        <v>29654</v>
      </c>
      <c r="I40" s="24" t="n">
        <v>0</v>
      </c>
      <c r="J40" s="24" t="n">
        <v>30.9</v>
      </c>
      <c r="K40" s="24" t="n">
        <v>24.3</v>
      </c>
      <c r="L40" s="24" t="n">
        <v>23.3</v>
      </c>
      <c r="M40" s="24" t="n">
        <v>0</v>
      </c>
      <c r="N40" s="26" t="n">
        <v>8.93</v>
      </c>
      <c r="O40" s="26" t="n">
        <v>4.49</v>
      </c>
      <c r="P40" s="23" t="n">
        <v>64</v>
      </c>
      <c r="Q40" s="23" t="n">
        <v>23</v>
      </c>
      <c r="R40" s="23" t="n">
        <v>24</v>
      </c>
      <c r="S40" s="27"/>
      <c r="T40" s="27"/>
      <c r="U40" s="27"/>
      <c r="V40" s="27"/>
      <c r="W40" s="28"/>
      <c r="X40" s="27"/>
      <c r="Y40" s="27"/>
      <c r="Z40" s="27"/>
      <c r="AA40" s="27" t="s">
        <v>319</v>
      </c>
      <c r="AB40" s="27"/>
    </row>
    <row r="41" customFormat="false" ht="15" hidden="false" customHeight="false" outlineLevel="0" collapsed="false">
      <c r="A41" s="23" t="n">
        <v>37</v>
      </c>
      <c r="B41" s="23" t="s">
        <v>320</v>
      </c>
      <c r="C41" s="23" t="s">
        <v>321</v>
      </c>
      <c r="D41" s="23" t="s">
        <v>204</v>
      </c>
      <c r="E41" s="23" t="s">
        <v>205</v>
      </c>
      <c r="F41" s="24" t="n">
        <v>19</v>
      </c>
      <c r="G41" s="24" t="n">
        <v>1</v>
      </c>
      <c r="H41" s="25" t="n">
        <v>9927</v>
      </c>
      <c r="I41" s="24" t="n">
        <v>0</v>
      </c>
      <c r="J41" s="24" t="n">
        <v>3.7</v>
      </c>
      <c r="K41" s="24" t="n">
        <v>12.4</v>
      </c>
      <c r="L41" s="24" t="n">
        <v>4.9</v>
      </c>
      <c r="M41" s="24" t="n">
        <v>0</v>
      </c>
      <c r="N41" s="26" t="n">
        <v>9.24</v>
      </c>
      <c r="O41" s="26" t="n">
        <v>4.36</v>
      </c>
      <c r="P41" s="23" t="n">
        <v>19</v>
      </c>
      <c r="Q41" s="23" t="n">
        <v>56</v>
      </c>
      <c r="R41" s="23" t="n">
        <v>56</v>
      </c>
      <c r="S41" s="27"/>
      <c r="T41" s="27"/>
      <c r="U41" s="27"/>
      <c r="V41" s="27"/>
      <c r="W41" s="28"/>
      <c r="X41" s="27"/>
      <c r="Y41" s="27"/>
      <c r="Z41" s="27"/>
      <c r="AA41" s="27" t="s">
        <v>322</v>
      </c>
      <c r="AB41" s="27"/>
    </row>
    <row r="42" customFormat="false" ht="15" hidden="false" customHeight="false" outlineLevel="0" collapsed="false">
      <c r="A42" s="23" t="n">
        <v>38</v>
      </c>
      <c r="B42" s="23" t="s">
        <v>323</v>
      </c>
      <c r="C42" s="23" t="s">
        <v>324</v>
      </c>
      <c r="D42" s="23" t="s">
        <v>209</v>
      </c>
      <c r="E42" s="23" t="s">
        <v>210</v>
      </c>
      <c r="F42" s="24" t="n">
        <v>54</v>
      </c>
      <c r="G42" s="24" t="n">
        <v>3</v>
      </c>
      <c r="H42" s="25" t="n">
        <v>29762</v>
      </c>
      <c r="I42" s="24" t="n">
        <v>0.4</v>
      </c>
      <c r="J42" s="24" t="n">
        <v>23.7</v>
      </c>
      <c r="K42" s="24" t="n">
        <v>33.5</v>
      </c>
      <c r="L42" s="24" t="n">
        <v>12.4</v>
      </c>
      <c r="M42" s="24" t="n">
        <v>0</v>
      </c>
      <c r="N42" s="26" t="n">
        <v>8.62</v>
      </c>
      <c r="O42" s="26" t="n">
        <v>1.78</v>
      </c>
      <c r="P42" s="23" t="n">
        <v>54</v>
      </c>
      <c r="Q42" s="23" t="n">
        <v>17</v>
      </c>
      <c r="R42" s="23" t="n">
        <v>9</v>
      </c>
      <c r="S42" s="27"/>
      <c r="T42" s="27"/>
      <c r="U42" s="27"/>
      <c r="V42" s="27"/>
      <c r="W42" s="28"/>
      <c r="X42" s="27"/>
      <c r="Y42" s="27"/>
      <c r="Z42" s="27"/>
      <c r="AA42" s="27" t="s">
        <v>325</v>
      </c>
      <c r="AB42" s="27"/>
    </row>
    <row r="43" customFormat="false" ht="15" hidden="false" customHeight="false" outlineLevel="0" collapsed="false">
      <c r="A43" s="23" t="n">
        <v>39</v>
      </c>
      <c r="B43" s="23" t="s">
        <v>326</v>
      </c>
      <c r="C43" s="23" t="s">
        <v>327</v>
      </c>
      <c r="D43" s="23" t="s">
        <v>204</v>
      </c>
      <c r="E43" s="23" t="s">
        <v>215</v>
      </c>
      <c r="F43" s="24" t="n">
        <v>69</v>
      </c>
      <c r="G43" s="24" t="n">
        <v>1</v>
      </c>
      <c r="H43" s="25" t="n">
        <v>39053</v>
      </c>
      <c r="I43" s="24" t="n">
        <v>2.4</v>
      </c>
      <c r="J43" s="24" t="n">
        <v>27.5</v>
      </c>
      <c r="K43" s="24" t="n">
        <v>27.7</v>
      </c>
      <c r="L43" s="24" t="n">
        <v>14.1</v>
      </c>
      <c r="M43" s="24" t="n">
        <v>0</v>
      </c>
      <c r="N43" s="26" t="n">
        <v>9.37</v>
      </c>
      <c r="O43" s="26" t="n">
        <v>9.04</v>
      </c>
      <c r="P43" s="23" t="n">
        <v>69</v>
      </c>
      <c r="Q43" s="23" t="n">
        <v>33</v>
      </c>
      <c r="R43" s="23" t="n">
        <v>33</v>
      </c>
      <c r="S43" s="27"/>
      <c r="T43" s="27"/>
      <c r="U43" s="27"/>
      <c r="V43" s="27"/>
      <c r="W43" s="28"/>
      <c r="X43" s="27"/>
      <c r="Y43" s="27"/>
      <c r="Z43" s="27"/>
      <c r="AA43" s="27" t="s">
        <v>328</v>
      </c>
      <c r="AB43" s="27"/>
    </row>
    <row r="44" customFormat="false" ht="15" hidden="false" customHeight="false" outlineLevel="0" collapsed="false">
      <c r="A44" s="23" t="n">
        <v>40</v>
      </c>
      <c r="B44" s="23" t="s">
        <v>329</v>
      </c>
      <c r="C44" s="23" t="s">
        <v>330</v>
      </c>
      <c r="D44" s="23" t="s">
        <v>204</v>
      </c>
      <c r="E44" s="23" t="s">
        <v>205</v>
      </c>
      <c r="F44" s="24" t="n">
        <v>34</v>
      </c>
      <c r="G44" s="24" t="n">
        <v>2</v>
      </c>
      <c r="H44" s="25" t="n">
        <v>19944</v>
      </c>
      <c r="I44" s="24" t="n">
        <v>0.1</v>
      </c>
      <c r="J44" s="24" t="n">
        <v>12.7</v>
      </c>
      <c r="K44" s="24" t="n">
        <v>13.4</v>
      </c>
      <c r="L44" s="24" t="n">
        <v>7.1</v>
      </c>
      <c r="M44" s="24" t="n">
        <v>0</v>
      </c>
      <c r="N44" s="26" t="n">
        <v>8.31</v>
      </c>
      <c r="O44" s="26" t="n">
        <v>1.36</v>
      </c>
      <c r="P44" s="23" t="n">
        <v>34</v>
      </c>
      <c r="Q44" s="23" t="n">
        <v>73</v>
      </c>
      <c r="R44" s="23" t="n">
        <v>73</v>
      </c>
      <c r="S44" s="27"/>
      <c r="T44" s="27"/>
      <c r="U44" s="27"/>
      <c r="V44" s="27"/>
      <c r="W44" s="28"/>
      <c r="X44" s="27"/>
      <c r="Y44" s="27"/>
      <c r="Z44" s="27"/>
      <c r="AA44" s="27" t="s">
        <v>331</v>
      </c>
      <c r="AB44" s="27"/>
    </row>
    <row r="45" customFormat="false" ht="15" hidden="false" customHeight="false" outlineLevel="0" collapsed="false">
      <c r="A45" s="23" t="n">
        <v>41</v>
      </c>
      <c r="B45" s="23" t="s">
        <v>332</v>
      </c>
      <c r="C45" s="23" t="s">
        <v>333</v>
      </c>
      <c r="D45" s="23" t="s">
        <v>204</v>
      </c>
      <c r="E45" s="23" t="s">
        <v>205</v>
      </c>
      <c r="F45" s="24" t="n">
        <v>139</v>
      </c>
      <c r="G45" s="24" t="n">
        <v>3</v>
      </c>
      <c r="H45" s="25" t="n">
        <v>96483</v>
      </c>
      <c r="I45" s="24" t="n">
        <v>8.4</v>
      </c>
      <c r="J45" s="24" t="n">
        <v>51.3</v>
      </c>
      <c r="K45" s="24" t="n">
        <v>60.8</v>
      </c>
      <c r="L45" s="24" t="n">
        <v>40.7</v>
      </c>
      <c r="M45" s="24" t="n">
        <v>0</v>
      </c>
      <c r="N45" s="26" t="n">
        <v>9.85</v>
      </c>
      <c r="O45" s="26" t="n">
        <v>1.48</v>
      </c>
      <c r="P45" s="23" t="n">
        <v>139</v>
      </c>
      <c r="Q45" s="23" t="n">
        <v>41</v>
      </c>
      <c r="R45" s="23"/>
      <c r="S45" s="27"/>
      <c r="T45" s="27"/>
      <c r="U45" s="27"/>
      <c r="V45" s="27"/>
      <c r="W45" s="28"/>
      <c r="X45" s="27"/>
      <c r="Y45" s="27"/>
      <c r="Z45" s="27"/>
      <c r="AA45" s="27" t="s">
        <v>334</v>
      </c>
      <c r="AB45" s="27"/>
    </row>
    <row r="46" customFormat="false" ht="15" hidden="false" customHeight="false" outlineLevel="0" collapsed="false">
      <c r="A46" s="23" t="n">
        <v>42</v>
      </c>
      <c r="B46" s="23" t="s">
        <v>335</v>
      </c>
      <c r="C46" s="23" t="s">
        <v>336</v>
      </c>
      <c r="D46" s="23" t="s">
        <v>214</v>
      </c>
      <c r="E46" s="23" t="s">
        <v>215</v>
      </c>
      <c r="F46" s="24" t="n">
        <v>50</v>
      </c>
      <c r="G46" s="24" t="n">
        <v>0</v>
      </c>
      <c r="H46" s="25" t="n">
        <v>30158</v>
      </c>
      <c r="I46" s="24" t="n">
        <v>0</v>
      </c>
      <c r="J46" s="24" t="n">
        <v>14.6</v>
      </c>
      <c r="K46" s="24" t="n">
        <v>38.7</v>
      </c>
      <c r="L46" s="24" t="n">
        <v>16.7</v>
      </c>
      <c r="M46" s="24" t="n">
        <v>0</v>
      </c>
      <c r="N46" s="26" t="n">
        <v>8.33</v>
      </c>
      <c r="O46" s="26" t="n">
        <v>1.88</v>
      </c>
      <c r="P46" s="23" t="n">
        <v>50</v>
      </c>
      <c r="Q46" s="23" t="n">
        <v>17</v>
      </c>
      <c r="R46" s="23" t="n">
        <v>38</v>
      </c>
      <c r="S46" s="27"/>
      <c r="T46" s="27"/>
      <c r="U46" s="27"/>
      <c r="V46" s="27"/>
      <c r="W46" s="28"/>
      <c r="X46" s="27"/>
      <c r="Y46" s="27"/>
      <c r="Z46" s="27"/>
      <c r="AA46" s="27" t="s">
        <v>337</v>
      </c>
      <c r="AB46" s="27"/>
    </row>
    <row r="47" customFormat="false" ht="15" hidden="false" customHeight="false" outlineLevel="0" collapsed="false">
      <c r="A47" s="23" t="n">
        <v>43</v>
      </c>
      <c r="B47" s="23" t="s">
        <v>338</v>
      </c>
      <c r="C47" s="23" t="s">
        <v>339</v>
      </c>
      <c r="D47" s="23" t="s">
        <v>214</v>
      </c>
      <c r="E47" s="23" t="s">
        <v>205</v>
      </c>
      <c r="F47" s="24" t="n">
        <v>70</v>
      </c>
      <c r="G47" s="24" t="n">
        <v>2</v>
      </c>
      <c r="H47" s="25" t="n">
        <v>31984</v>
      </c>
      <c r="I47" s="24" t="n">
        <v>4.5</v>
      </c>
      <c r="J47" s="24" t="n">
        <v>27.8</v>
      </c>
      <c r="K47" s="24" t="n">
        <v>30.1</v>
      </c>
      <c r="L47" s="24" t="n">
        <v>12.1</v>
      </c>
      <c r="M47" s="24" t="n">
        <v>0</v>
      </c>
      <c r="N47" s="26" t="n">
        <v>11.18</v>
      </c>
      <c r="O47" s="26" t="n">
        <v>6.17</v>
      </c>
      <c r="P47" s="23" t="n">
        <v>70</v>
      </c>
      <c r="Q47" s="23" t="n">
        <v>49</v>
      </c>
      <c r="R47" s="23" t="n">
        <v>7</v>
      </c>
      <c r="S47" s="27"/>
      <c r="T47" s="27"/>
      <c r="U47" s="27"/>
      <c r="V47" s="27"/>
      <c r="W47" s="28"/>
      <c r="X47" s="27"/>
      <c r="Y47" s="27"/>
      <c r="Z47" s="27"/>
      <c r="AA47" s="27" t="s">
        <v>340</v>
      </c>
      <c r="AB47" s="27"/>
    </row>
    <row r="48" customFormat="false" ht="15" hidden="false" customHeight="false" outlineLevel="0" collapsed="false">
      <c r="A48" s="23" t="n">
        <v>44</v>
      </c>
      <c r="B48" s="23" t="s">
        <v>341</v>
      </c>
      <c r="C48" s="23" t="s">
        <v>342</v>
      </c>
      <c r="D48" s="23" t="s">
        <v>204</v>
      </c>
      <c r="E48" s="23" t="s">
        <v>251</v>
      </c>
      <c r="F48" s="24" t="n">
        <v>23</v>
      </c>
      <c r="G48" s="24" t="n">
        <v>1</v>
      </c>
      <c r="H48" s="25" t="n">
        <v>9696</v>
      </c>
      <c r="I48" s="24" t="n">
        <v>0.4</v>
      </c>
      <c r="J48" s="24" t="n">
        <v>10.4</v>
      </c>
      <c r="K48" s="24" t="n">
        <v>10.4</v>
      </c>
      <c r="L48" s="24" t="n">
        <v>0.1</v>
      </c>
      <c r="M48" s="24" t="n">
        <v>0</v>
      </c>
      <c r="N48" s="26" t="n">
        <v>9.78</v>
      </c>
      <c r="O48" s="26" t="n">
        <v>4.5</v>
      </c>
      <c r="P48" s="23" t="n">
        <v>23</v>
      </c>
      <c r="Q48" s="23" t="n">
        <v>56</v>
      </c>
      <c r="R48" s="23" t="n">
        <v>56</v>
      </c>
      <c r="S48" s="27"/>
      <c r="T48" s="27"/>
      <c r="U48" s="27"/>
      <c r="V48" s="27"/>
      <c r="W48" s="28"/>
      <c r="X48" s="27"/>
      <c r="Y48" s="27"/>
      <c r="Z48" s="27"/>
      <c r="AA48" s="27" t="s">
        <v>343</v>
      </c>
      <c r="AB48" s="27"/>
    </row>
    <row r="49" customFormat="false" ht="15" hidden="false" customHeight="false" outlineLevel="0" collapsed="false">
      <c r="A49" s="23" t="n">
        <v>45</v>
      </c>
      <c r="B49" s="23" t="s">
        <v>344</v>
      </c>
      <c r="C49" s="23" t="s">
        <v>345</v>
      </c>
      <c r="D49" s="23" t="s">
        <v>214</v>
      </c>
      <c r="E49" s="23" t="s">
        <v>205</v>
      </c>
      <c r="F49" s="24" t="n">
        <v>17</v>
      </c>
      <c r="G49" s="24" t="n">
        <v>0</v>
      </c>
      <c r="H49" s="25" t="n">
        <v>8997</v>
      </c>
      <c r="I49" s="24" t="n">
        <v>0</v>
      </c>
      <c r="J49" s="24" t="n">
        <v>4.8</v>
      </c>
      <c r="K49" s="24" t="n">
        <v>6.7</v>
      </c>
      <c r="L49" s="24" t="n">
        <v>4</v>
      </c>
      <c r="M49" s="24" t="n">
        <v>0</v>
      </c>
      <c r="N49" s="26" t="n">
        <v>10.01</v>
      </c>
      <c r="O49" s="26" t="n">
        <v>6.78</v>
      </c>
      <c r="P49" s="23" t="n">
        <v>17</v>
      </c>
      <c r="Q49" s="23" t="n">
        <v>30</v>
      </c>
      <c r="R49" s="23" t="n">
        <v>3</v>
      </c>
      <c r="S49" s="27"/>
      <c r="T49" s="27"/>
      <c r="U49" s="27"/>
      <c r="V49" s="27"/>
      <c r="W49" s="28"/>
      <c r="X49" s="27"/>
      <c r="Y49" s="27"/>
      <c r="Z49" s="27"/>
      <c r="AA49" s="27" t="s">
        <v>346</v>
      </c>
      <c r="AB49" s="27"/>
    </row>
    <row r="50" customFormat="false" ht="15" hidden="false" customHeight="false" outlineLevel="0" collapsed="false">
      <c r="A50" s="23" t="n">
        <v>46</v>
      </c>
      <c r="B50" s="23" t="s">
        <v>347</v>
      </c>
      <c r="C50" s="23" t="s">
        <v>348</v>
      </c>
      <c r="D50" s="23" t="s">
        <v>209</v>
      </c>
      <c r="E50" s="23" t="s">
        <v>251</v>
      </c>
      <c r="F50" s="24" t="n">
        <v>36</v>
      </c>
      <c r="G50" s="24" t="n">
        <v>1</v>
      </c>
      <c r="H50" s="25" t="n">
        <v>15873</v>
      </c>
      <c r="I50" s="24" t="n">
        <v>2.6</v>
      </c>
      <c r="J50" s="24" t="n">
        <v>15.3</v>
      </c>
      <c r="K50" s="24" t="n">
        <v>20</v>
      </c>
      <c r="L50" s="24" t="n">
        <v>12</v>
      </c>
      <c r="M50" s="24" t="n">
        <v>0</v>
      </c>
      <c r="N50" s="26" t="n">
        <v>9.22</v>
      </c>
      <c r="O50" s="26" t="n">
        <v>2.78</v>
      </c>
      <c r="P50" s="23" t="n">
        <v>36</v>
      </c>
      <c r="Q50" s="23" t="n">
        <v>23</v>
      </c>
      <c r="R50" s="23" t="n">
        <v>79</v>
      </c>
      <c r="S50" s="27"/>
      <c r="T50" s="27"/>
      <c r="U50" s="27"/>
      <c r="V50" s="27"/>
      <c r="W50" s="28"/>
      <c r="X50" s="27"/>
      <c r="Y50" s="27"/>
      <c r="Z50" s="27"/>
      <c r="AA50" s="27" t="s">
        <v>349</v>
      </c>
      <c r="AB50" s="27"/>
    </row>
    <row r="51" customFormat="false" ht="15" hidden="false" customHeight="false" outlineLevel="0" collapsed="false">
      <c r="A51" s="23" t="n">
        <v>47</v>
      </c>
      <c r="B51" s="23" t="s">
        <v>350</v>
      </c>
      <c r="C51" s="23" t="s">
        <v>351</v>
      </c>
      <c r="D51" s="23" t="s">
        <v>238</v>
      </c>
      <c r="E51" s="23" t="s">
        <v>205</v>
      </c>
      <c r="F51" s="24" t="n">
        <v>60</v>
      </c>
      <c r="G51" s="24" t="n">
        <v>20</v>
      </c>
      <c r="H51" s="25" t="n">
        <v>22450</v>
      </c>
      <c r="I51" s="24" t="n">
        <v>2</v>
      </c>
      <c r="J51" s="24" t="n">
        <v>10.4</v>
      </c>
      <c r="K51" s="24" t="n">
        <v>17.5</v>
      </c>
      <c r="L51" s="24" t="n">
        <v>12</v>
      </c>
      <c r="M51" s="24" t="n">
        <v>0</v>
      </c>
      <c r="N51" s="26" t="n">
        <v>9.6</v>
      </c>
      <c r="O51" s="26" t="n">
        <v>5.81</v>
      </c>
      <c r="P51" s="29" t="n">
        <v>62</v>
      </c>
      <c r="Q51" s="23" t="n">
        <v>30</v>
      </c>
      <c r="R51" s="23" t="n">
        <v>3</v>
      </c>
      <c r="S51" s="27"/>
      <c r="T51" s="27"/>
      <c r="U51" s="27"/>
      <c r="V51" s="27"/>
      <c r="W51" s="28"/>
      <c r="X51" s="27"/>
      <c r="Y51" s="27"/>
      <c r="Z51" s="27"/>
      <c r="AA51" s="27" t="s">
        <v>352</v>
      </c>
      <c r="AB51" s="27"/>
    </row>
    <row r="52" customFormat="false" ht="15" hidden="false" customHeight="false" outlineLevel="0" collapsed="false">
      <c r="A52" s="23" t="n">
        <v>48</v>
      </c>
      <c r="B52" s="23" t="s">
        <v>353</v>
      </c>
      <c r="C52" s="23" t="s">
        <v>354</v>
      </c>
      <c r="D52" s="23" t="s">
        <v>204</v>
      </c>
      <c r="E52" s="23" t="s">
        <v>205</v>
      </c>
      <c r="F52" s="24" t="n">
        <v>34</v>
      </c>
      <c r="G52" s="24" t="n">
        <v>0</v>
      </c>
      <c r="H52" s="25" t="n">
        <v>14955</v>
      </c>
      <c r="I52" s="24" t="n">
        <v>2.1</v>
      </c>
      <c r="J52" s="24" t="n">
        <v>6.7</v>
      </c>
      <c r="K52" s="24" t="n">
        <v>25</v>
      </c>
      <c r="L52" s="24" t="n">
        <v>12</v>
      </c>
      <c r="M52" s="24" t="n">
        <v>0</v>
      </c>
      <c r="N52" s="26" t="n">
        <v>5.88</v>
      </c>
      <c r="O52" s="26" t="n">
        <v>5.58</v>
      </c>
      <c r="P52" s="23" t="n">
        <v>34</v>
      </c>
      <c r="Q52" s="23" t="n">
        <v>48</v>
      </c>
      <c r="R52" s="23"/>
      <c r="S52" s="27"/>
      <c r="T52" s="27"/>
      <c r="U52" s="27"/>
      <c r="V52" s="27"/>
      <c r="W52" s="28"/>
      <c r="X52" s="27"/>
      <c r="Y52" s="27"/>
      <c r="Z52" s="27"/>
      <c r="AA52" s="27" t="s">
        <v>355</v>
      </c>
      <c r="AB52" s="27"/>
    </row>
    <row r="53" customFormat="false" ht="15" hidden="false" customHeight="false" outlineLevel="0" collapsed="false">
      <c r="A53" s="23" t="n">
        <v>49</v>
      </c>
      <c r="B53" s="23" t="s">
        <v>356</v>
      </c>
      <c r="C53" s="23" t="s">
        <v>357</v>
      </c>
      <c r="D53" s="23" t="s">
        <v>214</v>
      </c>
      <c r="E53" s="23" t="s">
        <v>210</v>
      </c>
      <c r="F53" s="24" t="n">
        <v>110</v>
      </c>
      <c r="G53" s="24" t="n">
        <v>6</v>
      </c>
      <c r="H53" s="25" t="n">
        <v>50704</v>
      </c>
      <c r="I53" s="24" t="n">
        <v>0</v>
      </c>
      <c r="J53" s="24" t="n">
        <v>51.1</v>
      </c>
      <c r="K53" s="24" t="n">
        <v>39</v>
      </c>
      <c r="L53" s="24" t="n">
        <v>15.3</v>
      </c>
      <c r="M53" s="24" t="n">
        <v>0</v>
      </c>
      <c r="N53" s="26" t="n">
        <v>10.37</v>
      </c>
      <c r="O53" s="26" t="n">
        <v>3.98</v>
      </c>
      <c r="P53" s="23" t="n">
        <v>110</v>
      </c>
      <c r="Q53" s="23" t="n">
        <v>49</v>
      </c>
      <c r="R53" s="23"/>
      <c r="S53" s="27"/>
      <c r="T53" s="27"/>
      <c r="U53" s="27"/>
      <c r="V53" s="27"/>
      <c r="W53" s="28"/>
      <c r="X53" s="27"/>
      <c r="Y53" s="27"/>
      <c r="Z53" s="27"/>
      <c r="AA53" s="27" t="s">
        <v>358</v>
      </c>
      <c r="AB53" s="27"/>
    </row>
    <row r="54" customFormat="false" ht="15" hidden="false" customHeight="false" outlineLevel="0" collapsed="false">
      <c r="A54" s="23" t="n">
        <v>50</v>
      </c>
      <c r="B54" s="23" t="s">
        <v>359</v>
      </c>
      <c r="C54" s="23" t="s">
        <v>360</v>
      </c>
      <c r="D54" s="23" t="s">
        <v>204</v>
      </c>
      <c r="E54" s="23" t="s">
        <v>205</v>
      </c>
      <c r="F54" s="24" t="n">
        <v>7</v>
      </c>
      <c r="G54" s="24" t="n">
        <v>1</v>
      </c>
      <c r="H54" s="25" t="n">
        <v>4673</v>
      </c>
      <c r="I54" s="24" t="n">
        <v>0</v>
      </c>
      <c r="J54" s="24" t="n">
        <v>4.8</v>
      </c>
      <c r="K54" s="24" t="n">
        <v>1.8</v>
      </c>
      <c r="L54" s="24" t="n">
        <v>2.1</v>
      </c>
      <c r="M54" s="24" t="n">
        <v>0</v>
      </c>
      <c r="N54" s="26" t="n">
        <v>9.96</v>
      </c>
      <c r="O54" s="26" t="n">
        <v>3.51</v>
      </c>
      <c r="P54" s="23" t="n">
        <v>7</v>
      </c>
      <c r="Q54" s="23" t="n">
        <v>49</v>
      </c>
      <c r="R54" s="23" t="n">
        <v>65</v>
      </c>
      <c r="S54" s="27"/>
      <c r="T54" s="27"/>
      <c r="U54" s="27"/>
      <c r="V54" s="27"/>
      <c r="W54" s="28"/>
      <c r="X54" s="27"/>
      <c r="Y54" s="27"/>
      <c r="Z54" s="27"/>
      <c r="AA54" s="27" t="s">
        <v>361</v>
      </c>
      <c r="AB54" s="27"/>
    </row>
    <row r="55" customFormat="false" ht="15" hidden="false" customHeight="false" outlineLevel="0" collapsed="false">
      <c r="A55" s="23" t="n">
        <v>51</v>
      </c>
      <c r="B55" s="23" t="s">
        <v>362</v>
      </c>
      <c r="C55" s="23" t="s">
        <v>363</v>
      </c>
      <c r="D55" s="23" t="s">
        <v>204</v>
      </c>
      <c r="E55" s="23" t="s">
        <v>205</v>
      </c>
      <c r="F55" s="24" t="n">
        <v>9</v>
      </c>
      <c r="G55" s="24" t="n">
        <v>1</v>
      </c>
      <c r="H55" s="25" t="n">
        <v>3365</v>
      </c>
      <c r="I55" s="24" t="n">
        <v>0</v>
      </c>
      <c r="J55" s="24" t="n">
        <v>8.6</v>
      </c>
      <c r="K55" s="24" t="n">
        <v>4.6</v>
      </c>
      <c r="L55" s="24" t="n">
        <v>0</v>
      </c>
      <c r="M55" s="24" t="n">
        <v>0</v>
      </c>
      <c r="N55" s="26" t="n">
        <v>9.55</v>
      </c>
      <c r="O55" s="26" t="n">
        <v>4.66</v>
      </c>
      <c r="P55" s="23" t="n">
        <v>9</v>
      </c>
      <c r="Q55" s="23" t="n">
        <v>56</v>
      </c>
      <c r="R55" s="23" t="n">
        <v>44</v>
      </c>
      <c r="S55" s="27"/>
      <c r="T55" s="27"/>
      <c r="U55" s="27"/>
      <c r="V55" s="27"/>
      <c r="W55" s="28"/>
      <c r="X55" s="27"/>
      <c r="Y55" s="27"/>
      <c r="Z55" s="27"/>
      <c r="AA55" s="27" t="s">
        <v>364</v>
      </c>
      <c r="AB55" s="27"/>
    </row>
    <row r="56" customFormat="false" ht="15" hidden="false" customHeight="false" outlineLevel="0" collapsed="false">
      <c r="A56" s="23" t="n">
        <v>52</v>
      </c>
      <c r="B56" s="23" t="s">
        <v>365</v>
      </c>
      <c r="C56" s="23" t="s">
        <v>366</v>
      </c>
      <c r="D56" s="23" t="s">
        <v>209</v>
      </c>
      <c r="E56" s="23" t="s">
        <v>215</v>
      </c>
      <c r="F56" s="24" t="n">
        <v>33</v>
      </c>
      <c r="G56" s="24" t="n">
        <v>0</v>
      </c>
      <c r="H56" s="25" t="n">
        <v>27542</v>
      </c>
      <c r="I56" s="24" t="n">
        <v>0</v>
      </c>
      <c r="J56" s="24" t="n">
        <v>11.3</v>
      </c>
      <c r="K56" s="24" t="n">
        <v>23</v>
      </c>
      <c r="L56" s="24" t="n">
        <v>11</v>
      </c>
      <c r="M56" s="24" t="n">
        <v>0</v>
      </c>
      <c r="N56" s="26" t="n">
        <v>12.71</v>
      </c>
      <c r="O56" s="26" t="n">
        <v>5.58</v>
      </c>
      <c r="P56" s="23" t="n">
        <v>33</v>
      </c>
      <c r="Q56" s="23" t="n">
        <v>85</v>
      </c>
      <c r="R56" s="23" t="n">
        <v>61</v>
      </c>
      <c r="S56" s="27"/>
      <c r="T56" s="27"/>
      <c r="U56" s="27"/>
      <c r="V56" s="27"/>
      <c r="W56" s="28"/>
      <c r="X56" s="27"/>
      <c r="Y56" s="27"/>
      <c r="Z56" s="27"/>
      <c r="AA56" s="27" t="s">
        <v>367</v>
      </c>
      <c r="AB56" s="27"/>
    </row>
    <row r="57" customFormat="false" ht="15" hidden="false" customHeight="false" outlineLevel="0" collapsed="false">
      <c r="A57" s="23" t="n">
        <v>53</v>
      </c>
      <c r="B57" s="23" t="s">
        <v>368</v>
      </c>
      <c r="C57" s="23" t="s">
        <v>369</v>
      </c>
      <c r="D57" s="23" t="s">
        <v>209</v>
      </c>
      <c r="E57" s="23" t="s">
        <v>215</v>
      </c>
      <c r="F57" s="24" t="n">
        <v>47</v>
      </c>
      <c r="G57" s="24" t="n">
        <v>1</v>
      </c>
      <c r="H57" s="25" t="n">
        <v>23601</v>
      </c>
      <c r="I57" s="24" t="n">
        <v>0</v>
      </c>
      <c r="J57" s="24" t="n">
        <v>25.9</v>
      </c>
      <c r="K57" s="24" t="n">
        <v>20</v>
      </c>
      <c r="L57" s="24" t="n">
        <v>26.3</v>
      </c>
      <c r="M57" s="24" t="n">
        <v>1.4</v>
      </c>
      <c r="N57" s="26" t="n">
        <v>12.18</v>
      </c>
      <c r="O57" s="26" t="n">
        <v>5.37</v>
      </c>
      <c r="P57" s="23" t="n">
        <v>47</v>
      </c>
      <c r="Q57" s="23" t="n">
        <v>85</v>
      </c>
      <c r="R57" s="23" t="n">
        <v>61</v>
      </c>
      <c r="S57" s="27"/>
      <c r="T57" s="27"/>
      <c r="U57" s="27"/>
      <c r="V57" s="27"/>
      <c r="W57" s="28"/>
      <c r="X57" s="27"/>
      <c r="Y57" s="27"/>
      <c r="Z57" s="27"/>
      <c r="AA57" s="27" t="s">
        <v>370</v>
      </c>
      <c r="AB57" s="27"/>
    </row>
    <row r="58" customFormat="false" ht="15" hidden="false" customHeight="false" outlineLevel="0" collapsed="false">
      <c r="A58" s="23" t="n">
        <v>54</v>
      </c>
      <c r="B58" s="23" t="s">
        <v>371</v>
      </c>
      <c r="C58" s="23" t="s">
        <v>372</v>
      </c>
      <c r="D58" s="23" t="s">
        <v>214</v>
      </c>
      <c r="E58" s="23" t="s">
        <v>205</v>
      </c>
      <c r="F58" s="24" t="n">
        <v>57</v>
      </c>
      <c r="G58" s="24" t="n">
        <v>0</v>
      </c>
      <c r="H58" s="25" t="n">
        <v>28680</v>
      </c>
      <c r="I58" s="24" t="n">
        <v>6.3</v>
      </c>
      <c r="J58" s="24" t="n">
        <v>21.9</v>
      </c>
      <c r="K58" s="24" t="n">
        <v>25.1</v>
      </c>
      <c r="L58" s="24" t="n">
        <v>14.7</v>
      </c>
      <c r="M58" s="24" t="n">
        <v>0.5</v>
      </c>
      <c r="N58" s="26" t="n">
        <v>8.94</v>
      </c>
      <c r="O58" s="26" t="n">
        <v>6.43</v>
      </c>
      <c r="P58" s="23" t="n">
        <v>57</v>
      </c>
      <c r="Q58" s="23" t="n">
        <v>28</v>
      </c>
      <c r="R58" s="23" t="n">
        <v>29</v>
      </c>
      <c r="S58" s="27"/>
      <c r="T58" s="27"/>
      <c r="U58" s="27"/>
      <c r="V58" s="27"/>
      <c r="W58" s="28"/>
      <c r="X58" s="27"/>
      <c r="Y58" s="27"/>
      <c r="Z58" s="27"/>
      <c r="AA58" s="27" t="s">
        <v>373</v>
      </c>
      <c r="AB58" s="27"/>
    </row>
    <row r="59" customFormat="false" ht="15" hidden="false" customHeight="false" outlineLevel="0" collapsed="false">
      <c r="A59" s="23" t="n">
        <v>55</v>
      </c>
      <c r="B59" s="23" t="s">
        <v>374</v>
      </c>
      <c r="C59" s="23" t="s">
        <v>375</v>
      </c>
      <c r="D59" s="23" t="s">
        <v>204</v>
      </c>
      <c r="E59" s="23" t="s">
        <v>210</v>
      </c>
      <c r="F59" s="24" t="n">
        <v>49</v>
      </c>
      <c r="G59" s="24" t="n">
        <v>1</v>
      </c>
      <c r="H59" s="25" t="n">
        <v>22337</v>
      </c>
      <c r="I59" s="24" t="n">
        <v>3</v>
      </c>
      <c r="J59" s="24" t="n">
        <v>19.5</v>
      </c>
      <c r="K59" s="24" t="n">
        <v>24.1</v>
      </c>
      <c r="L59" s="24" t="n">
        <v>12.1</v>
      </c>
      <c r="M59" s="24" t="n">
        <v>0</v>
      </c>
      <c r="N59" s="26" t="n">
        <v>9.88</v>
      </c>
      <c r="O59" s="26" t="n">
        <v>3.99</v>
      </c>
      <c r="P59" s="23" t="n">
        <v>49</v>
      </c>
      <c r="Q59" s="23" t="n">
        <v>23</v>
      </c>
      <c r="R59" s="23" t="n">
        <v>36</v>
      </c>
      <c r="S59" s="27"/>
      <c r="T59" s="27"/>
      <c r="U59" s="27"/>
      <c r="V59" s="27"/>
      <c r="W59" s="28"/>
      <c r="X59" s="27"/>
      <c r="Y59" s="27"/>
      <c r="Z59" s="27"/>
      <c r="AA59" s="27" t="s">
        <v>376</v>
      </c>
      <c r="AB59" s="27"/>
    </row>
    <row r="60" customFormat="false" ht="15" hidden="false" customHeight="false" outlineLevel="0" collapsed="false">
      <c r="A60" s="23" t="n">
        <v>56</v>
      </c>
      <c r="B60" s="23" t="s">
        <v>377</v>
      </c>
      <c r="C60" s="23" t="s">
        <v>378</v>
      </c>
      <c r="D60" s="23" t="s">
        <v>204</v>
      </c>
      <c r="E60" s="23" t="s">
        <v>222</v>
      </c>
      <c r="F60" s="24" t="n">
        <v>28</v>
      </c>
      <c r="G60" s="24" t="n">
        <v>10</v>
      </c>
      <c r="H60" s="25" t="n">
        <v>9938</v>
      </c>
      <c r="I60" s="24" t="n">
        <v>1.8</v>
      </c>
      <c r="J60" s="24" t="n">
        <v>9.4</v>
      </c>
      <c r="K60" s="24" t="n">
        <v>15</v>
      </c>
      <c r="L60" s="24" t="n">
        <v>0</v>
      </c>
      <c r="M60" s="24" t="n">
        <v>0</v>
      </c>
      <c r="N60" s="26" t="n">
        <v>9.62</v>
      </c>
      <c r="O60" s="26" t="n">
        <v>4.34</v>
      </c>
      <c r="P60" s="23" t="n">
        <v>28</v>
      </c>
      <c r="Q60" s="23" t="n">
        <v>56</v>
      </c>
      <c r="R60" s="23"/>
      <c r="S60" s="27"/>
      <c r="T60" s="27"/>
      <c r="U60" s="27"/>
      <c r="V60" s="27"/>
      <c r="W60" s="28"/>
      <c r="X60" s="27"/>
      <c r="Y60" s="27"/>
      <c r="Z60" s="27"/>
      <c r="AA60" s="27" t="s">
        <v>379</v>
      </c>
      <c r="AB60" s="27"/>
    </row>
    <row r="61" customFormat="false" ht="15" hidden="false" customHeight="false" outlineLevel="0" collapsed="false">
      <c r="A61" s="23" t="n">
        <v>57</v>
      </c>
      <c r="B61" s="23" t="s">
        <v>380</v>
      </c>
      <c r="C61" s="23" t="s">
        <v>381</v>
      </c>
      <c r="D61" s="23" t="s">
        <v>209</v>
      </c>
      <c r="E61" s="23" t="s">
        <v>215</v>
      </c>
      <c r="F61" s="24" t="n">
        <v>48</v>
      </c>
      <c r="G61" s="24" t="n">
        <v>2</v>
      </c>
      <c r="H61" s="25" t="n">
        <v>34296</v>
      </c>
      <c r="I61" s="24" t="n">
        <v>0</v>
      </c>
      <c r="J61" s="24" t="n">
        <v>10.8</v>
      </c>
      <c r="K61" s="24" t="n">
        <v>23.5</v>
      </c>
      <c r="L61" s="24" t="n">
        <v>16.3</v>
      </c>
      <c r="M61" s="24" t="n">
        <v>0</v>
      </c>
      <c r="N61" s="26" t="n">
        <v>1.57</v>
      </c>
      <c r="O61" s="26" t="n">
        <v>1.76</v>
      </c>
      <c r="P61" s="23" t="n">
        <v>48</v>
      </c>
      <c r="Q61" s="23" t="n">
        <v>57</v>
      </c>
      <c r="R61" s="23"/>
      <c r="S61" s="27"/>
      <c r="T61" s="27"/>
      <c r="U61" s="27"/>
      <c r="V61" s="27"/>
      <c r="W61" s="28"/>
      <c r="X61" s="27"/>
      <c r="Y61" s="27"/>
      <c r="Z61" s="27"/>
      <c r="AA61" s="27" t="s">
        <v>382</v>
      </c>
      <c r="AB61" s="27"/>
    </row>
    <row r="62" customFormat="false" ht="15" hidden="false" customHeight="false" outlineLevel="0" collapsed="false">
      <c r="A62" s="23" t="n">
        <v>58</v>
      </c>
      <c r="B62" s="23" t="s">
        <v>383</v>
      </c>
      <c r="C62" s="23" t="s">
        <v>384</v>
      </c>
      <c r="D62" s="23" t="s">
        <v>204</v>
      </c>
      <c r="E62" s="23" t="s">
        <v>205</v>
      </c>
      <c r="F62" s="24" t="n">
        <v>38</v>
      </c>
      <c r="G62" s="24" t="n">
        <v>1</v>
      </c>
      <c r="H62" s="25" t="n">
        <v>13623</v>
      </c>
      <c r="I62" s="24" t="n">
        <v>1</v>
      </c>
      <c r="J62" s="24" t="n">
        <v>14.1</v>
      </c>
      <c r="K62" s="24" t="n">
        <v>23.6</v>
      </c>
      <c r="L62" s="24" t="n">
        <v>8.1</v>
      </c>
      <c r="M62" s="24" t="n">
        <v>0</v>
      </c>
      <c r="N62" s="26" t="n">
        <v>2.69</v>
      </c>
      <c r="O62" s="26" t="n">
        <v>2.18</v>
      </c>
      <c r="P62" s="23" t="n">
        <v>38</v>
      </c>
      <c r="Q62" s="23" t="n">
        <v>59</v>
      </c>
      <c r="R62" s="23" t="n">
        <v>59</v>
      </c>
      <c r="S62" s="27"/>
      <c r="T62" s="27"/>
      <c r="U62" s="27"/>
      <c r="V62" s="27"/>
      <c r="W62" s="28"/>
      <c r="X62" s="27"/>
      <c r="Y62" s="27"/>
      <c r="Z62" s="27"/>
      <c r="AA62" s="27" t="s">
        <v>385</v>
      </c>
      <c r="AB62" s="27"/>
    </row>
    <row r="63" customFormat="false" ht="15" hidden="false" customHeight="false" outlineLevel="0" collapsed="false">
      <c r="A63" s="23" t="n">
        <v>59</v>
      </c>
      <c r="B63" s="23" t="s">
        <v>386</v>
      </c>
      <c r="C63" s="23" t="s">
        <v>387</v>
      </c>
      <c r="D63" s="23" t="s">
        <v>214</v>
      </c>
      <c r="E63" s="23" t="s">
        <v>205</v>
      </c>
      <c r="F63" s="24" t="n">
        <v>66</v>
      </c>
      <c r="G63" s="24" t="n">
        <v>0</v>
      </c>
      <c r="H63" s="25" t="n">
        <v>24565</v>
      </c>
      <c r="I63" s="24" t="n">
        <v>0</v>
      </c>
      <c r="J63" s="24" t="n">
        <v>15.9</v>
      </c>
      <c r="K63" s="24" t="n">
        <v>39.1</v>
      </c>
      <c r="L63" s="24" t="n">
        <v>32.9</v>
      </c>
      <c r="M63" s="24" t="n">
        <v>0</v>
      </c>
      <c r="N63" s="26" t="n">
        <v>3.21</v>
      </c>
      <c r="O63" s="26" t="n">
        <v>2.06</v>
      </c>
      <c r="P63" s="29" t="n">
        <v>71</v>
      </c>
      <c r="Q63" s="23" t="n">
        <v>59</v>
      </c>
      <c r="R63" s="23"/>
      <c r="S63" s="27"/>
      <c r="T63" s="27"/>
      <c r="U63" s="27"/>
      <c r="V63" s="27"/>
      <c r="W63" s="28"/>
      <c r="X63" s="27"/>
      <c r="Y63" s="27"/>
      <c r="Z63" s="27"/>
      <c r="AA63" s="27" t="s">
        <v>388</v>
      </c>
      <c r="AB63" s="27"/>
    </row>
    <row r="64" customFormat="false" ht="15" hidden="false" customHeight="false" outlineLevel="0" collapsed="false">
      <c r="A64" s="23" t="n">
        <v>60</v>
      </c>
      <c r="B64" s="23" t="s">
        <v>389</v>
      </c>
      <c r="C64" s="23" t="s">
        <v>390</v>
      </c>
      <c r="D64" s="23" t="s">
        <v>214</v>
      </c>
      <c r="E64" s="23" t="s">
        <v>205</v>
      </c>
      <c r="F64" s="24" t="n">
        <v>109</v>
      </c>
      <c r="G64" s="24" t="n">
        <v>11</v>
      </c>
      <c r="H64" s="25" t="n">
        <v>52025</v>
      </c>
      <c r="I64" s="24" t="n">
        <v>2.3</v>
      </c>
      <c r="J64" s="24" t="n">
        <v>42.6</v>
      </c>
      <c r="K64" s="24" t="n">
        <v>44.4</v>
      </c>
      <c r="L64" s="24" t="n">
        <v>28</v>
      </c>
      <c r="M64" s="24" t="n">
        <v>0</v>
      </c>
      <c r="N64" s="26" t="n">
        <v>9.6</v>
      </c>
      <c r="O64" s="26" t="n">
        <v>2.79</v>
      </c>
      <c r="P64" s="23" t="n">
        <v>109</v>
      </c>
      <c r="Q64" s="23" t="n">
        <v>41</v>
      </c>
      <c r="R64" s="23" t="n">
        <v>41</v>
      </c>
      <c r="S64" s="27"/>
      <c r="T64" s="27"/>
      <c r="U64" s="27"/>
      <c r="V64" s="27"/>
      <c r="W64" s="28"/>
      <c r="X64" s="27"/>
      <c r="Y64" s="27"/>
      <c r="Z64" s="27"/>
      <c r="AA64" s="27" t="s">
        <v>391</v>
      </c>
      <c r="AB64" s="27"/>
    </row>
    <row r="65" customFormat="false" ht="15" hidden="false" customHeight="false" outlineLevel="0" collapsed="false">
      <c r="A65" s="23" t="n">
        <v>61</v>
      </c>
      <c r="B65" s="23" t="s">
        <v>392</v>
      </c>
      <c r="C65" s="23" t="s">
        <v>393</v>
      </c>
      <c r="D65" s="23" t="s">
        <v>204</v>
      </c>
      <c r="E65" s="23" t="s">
        <v>215</v>
      </c>
      <c r="F65" s="24" t="n">
        <v>73</v>
      </c>
      <c r="G65" s="24" t="n">
        <v>0</v>
      </c>
      <c r="H65" s="25" t="n">
        <v>36741</v>
      </c>
      <c r="I65" s="24" t="n">
        <v>0</v>
      </c>
      <c r="J65" s="24" t="n">
        <v>18.2</v>
      </c>
      <c r="K65" s="24" t="n">
        <v>54.1</v>
      </c>
      <c r="L65" s="24" t="n">
        <v>18.1</v>
      </c>
      <c r="M65" s="24" t="n">
        <v>0</v>
      </c>
      <c r="N65" s="26" t="n">
        <v>12.33</v>
      </c>
      <c r="O65" s="26" t="n">
        <v>5.83</v>
      </c>
      <c r="P65" s="23" t="n">
        <v>73</v>
      </c>
      <c r="Q65" s="23" t="n">
        <v>85</v>
      </c>
      <c r="R65" s="23" t="n">
        <v>85</v>
      </c>
      <c r="S65" s="27"/>
      <c r="T65" s="27"/>
      <c r="U65" s="27"/>
      <c r="V65" s="27"/>
      <c r="W65" s="28"/>
      <c r="X65" s="27"/>
      <c r="Y65" s="27"/>
      <c r="Z65" s="27"/>
      <c r="AA65" s="27" t="s">
        <v>394</v>
      </c>
      <c r="AB65" s="27"/>
    </row>
    <row r="66" customFormat="false" ht="15" hidden="false" customHeight="false" outlineLevel="0" collapsed="false">
      <c r="A66" s="23" t="n">
        <v>62</v>
      </c>
      <c r="B66" s="23" t="s">
        <v>395</v>
      </c>
      <c r="C66" s="23" t="s">
        <v>396</v>
      </c>
      <c r="D66" s="23" t="s">
        <v>209</v>
      </c>
      <c r="E66" s="23" t="s">
        <v>222</v>
      </c>
      <c r="F66" s="24" t="n">
        <v>36</v>
      </c>
      <c r="G66" s="24" t="n">
        <v>2</v>
      </c>
      <c r="H66" s="25" t="n">
        <v>15206</v>
      </c>
      <c r="I66" s="24" t="n">
        <v>0</v>
      </c>
      <c r="J66" s="24" t="n">
        <v>11.9</v>
      </c>
      <c r="K66" s="24" t="n">
        <v>19.5</v>
      </c>
      <c r="L66" s="24" t="n">
        <v>13.4</v>
      </c>
      <c r="M66" s="24" t="n">
        <v>0</v>
      </c>
      <c r="N66" s="26" t="n">
        <v>9.3</v>
      </c>
      <c r="O66" s="26" t="n">
        <v>1.15</v>
      </c>
      <c r="P66" s="23" t="n">
        <v>36</v>
      </c>
      <c r="Q66" s="23" t="n">
        <v>22</v>
      </c>
      <c r="R66" s="23" t="n">
        <v>22</v>
      </c>
      <c r="S66" s="27"/>
      <c r="T66" s="27"/>
      <c r="U66" s="27"/>
      <c r="V66" s="27"/>
      <c r="W66" s="28"/>
      <c r="X66" s="27"/>
      <c r="Y66" s="27"/>
      <c r="Z66" s="27"/>
      <c r="AA66" s="27" t="s">
        <v>397</v>
      </c>
      <c r="AB66" s="27"/>
    </row>
    <row r="67" customFormat="false" ht="15" hidden="false" customHeight="false" outlineLevel="0" collapsed="false">
      <c r="A67" s="23" t="n">
        <v>63</v>
      </c>
      <c r="B67" s="23" t="s">
        <v>398</v>
      </c>
      <c r="C67" s="23" t="s">
        <v>399</v>
      </c>
      <c r="D67" s="23" t="s">
        <v>204</v>
      </c>
      <c r="E67" s="23" t="s">
        <v>205</v>
      </c>
      <c r="F67" s="24" t="n">
        <v>25</v>
      </c>
      <c r="G67" s="24" t="n">
        <v>1</v>
      </c>
      <c r="H67" s="25" t="n">
        <v>14070</v>
      </c>
      <c r="I67" s="24" t="n">
        <v>1.6</v>
      </c>
      <c r="J67" s="24" t="n">
        <v>21.7</v>
      </c>
      <c r="K67" s="24" t="n">
        <v>4.2</v>
      </c>
      <c r="L67" s="24" t="n">
        <v>0</v>
      </c>
      <c r="M67" s="24" t="n">
        <v>0</v>
      </c>
      <c r="N67" s="26" t="n">
        <v>9.02</v>
      </c>
      <c r="O67" s="26" t="n">
        <v>1.75</v>
      </c>
      <c r="P67" s="23" t="n">
        <v>25</v>
      </c>
      <c r="Q67" s="23" t="n">
        <v>73</v>
      </c>
      <c r="R67" s="23" t="n">
        <v>74</v>
      </c>
      <c r="S67" s="27"/>
      <c r="T67" s="27"/>
      <c r="U67" s="27"/>
      <c r="V67" s="27"/>
      <c r="W67" s="28"/>
      <c r="X67" s="27"/>
      <c r="Y67" s="27"/>
      <c r="Z67" s="27"/>
      <c r="AA67" s="27" t="s">
        <v>400</v>
      </c>
      <c r="AB67" s="27"/>
    </row>
    <row r="68" customFormat="false" ht="15" hidden="false" customHeight="false" outlineLevel="0" collapsed="false">
      <c r="A68" s="23" t="n">
        <v>64</v>
      </c>
      <c r="B68" s="23" t="s">
        <v>401</v>
      </c>
      <c r="C68" s="23" t="s">
        <v>402</v>
      </c>
      <c r="D68" s="23" t="s">
        <v>209</v>
      </c>
      <c r="E68" s="23" t="s">
        <v>205</v>
      </c>
      <c r="F68" s="24" t="n">
        <v>62</v>
      </c>
      <c r="G68" s="24" t="n">
        <v>3</v>
      </c>
      <c r="H68" s="25" t="n">
        <v>34980</v>
      </c>
      <c r="I68" s="24" t="n">
        <v>0.4</v>
      </c>
      <c r="J68" s="24" t="n">
        <v>25.6</v>
      </c>
      <c r="K68" s="24" t="n">
        <v>32.3</v>
      </c>
      <c r="L68" s="24" t="n">
        <v>12.7</v>
      </c>
      <c r="M68" s="24" t="n">
        <v>0</v>
      </c>
      <c r="N68" s="26" t="n">
        <v>10.33</v>
      </c>
      <c r="O68" s="26" t="n">
        <v>3.32</v>
      </c>
      <c r="P68" s="29" t="n">
        <v>76</v>
      </c>
      <c r="Q68" s="23" t="n">
        <v>49</v>
      </c>
      <c r="R68" s="23" t="n">
        <v>65</v>
      </c>
      <c r="S68" s="27"/>
      <c r="T68" s="27"/>
      <c r="U68" s="27"/>
      <c r="V68" s="27"/>
      <c r="W68" s="28"/>
      <c r="X68" s="27"/>
      <c r="Y68" s="27"/>
      <c r="Z68" s="27"/>
      <c r="AA68" s="27" t="s">
        <v>403</v>
      </c>
      <c r="AB68" s="27"/>
    </row>
    <row r="69" customFormat="false" ht="15" hidden="false" customHeight="false" outlineLevel="0" collapsed="false">
      <c r="A69" s="23" t="n">
        <v>65</v>
      </c>
      <c r="B69" s="23" t="s">
        <v>404</v>
      </c>
      <c r="C69" s="23" t="s">
        <v>405</v>
      </c>
      <c r="D69" s="23" t="s">
        <v>214</v>
      </c>
      <c r="E69" s="23" t="s">
        <v>210</v>
      </c>
      <c r="F69" s="24" t="n">
        <v>77</v>
      </c>
      <c r="G69" s="24" t="n">
        <v>0</v>
      </c>
      <c r="H69" s="25" t="n">
        <v>30770</v>
      </c>
      <c r="I69" s="24" t="n">
        <v>0</v>
      </c>
      <c r="J69" s="24" t="n">
        <v>36.7</v>
      </c>
      <c r="K69" s="24" t="n">
        <v>34.9</v>
      </c>
      <c r="L69" s="24" t="n">
        <v>14.2</v>
      </c>
      <c r="M69" s="24" t="n">
        <v>0</v>
      </c>
      <c r="N69" s="26" t="n">
        <v>9.91</v>
      </c>
      <c r="O69" s="26" t="n">
        <v>3.76</v>
      </c>
      <c r="P69" s="29" t="n">
        <v>62</v>
      </c>
      <c r="Q69" s="23" t="n">
        <v>49</v>
      </c>
      <c r="R69" s="23" t="n">
        <v>49</v>
      </c>
      <c r="S69" s="27"/>
      <c r="T69" s="27"/>
      <c r="U69" s="27"/>
      <c r="V69" s="27"/>
      <c r="W69" s="28"/>
      <c r="X69" s="27"/>
      <c r="Y69" s="27"/>
      <c r="Z69" s="27"/>
      <c r="AA69" s="27" t="s">
        <v>406</v>
      </c>
      <c r="AB69" s="27"/>
    </row>
    <row r="70" customFormat="false" ht="15" hidden="false" customHeight="false" outlineLevel="0" collapsed="false">
      <c r="A70" s="23" t="n">
        <v>66</v>
      </c>
      <c r="B70" s="23" t="s">
        <v>407</v>
      </c>
      <c r="C70" s="23" t="s">
        <v>408</v>
      </c>
      <c r="D70" s="23" t="s">
        <v>214</v>
      </c>
      <c r="E70" s="23" t="s">
        <v>205</v>
      </c>
      <c r="F70" s="24" t="n">
        <v>47</v>
      </c>
      <c r="G70" s="24" t="n">
        <v>0</v>
      </c>
      <c r="H70" s="25" t="n">
        <v>25083</v>
      </c>
      <c r="I70" s="24" t="n">
        <v>3.8</v>
      </c>
      <c r="J70" s="24" t="n">
        <v>29</v>
      </c>
      <c r="K70" s="24" t="n">
        <v>25</v>
      </c>
      <c r="L70" s="24" t="n">
        <v>0.8</v>
      </c>
      <c r="M70" s="24" t="n">
        <v>0</v>
      </c>
      <c r="N70" s="26" t="n">
        <v>8.3</v>
      </c>
      <c r="O70" s="26" t="n">
        <v>7.37</v>
      </c>
      <c r="P70" s="23" t="n">
        <v>47</v>
      </c>
      <c r="Q70" s="23" t="n">
        <v>28</v>
      </c>
      <c r="R70" s="23" t="n">
        <v>29</v>
      </c>
      <c r="S70" s="27"/>
      <c r="T70" s="27"/>
      <c r="U70" s="27"/>
      <c r="V70" s="27"/>
      <c r="W70" s="28"/>
      <c r="X70" s="27"/>
      <c r="Y70" s="27"/>
      <c r="Z70" s="27"/>
      <c r="AA70" s="27" t="s">
        <v>409</v>
      </c>
      <c r="AB70" s="27"/>
    </row>
    <row r="71" customFormat="false" ht="15" hidden="false" customHeight="false" outlineLevel="0" collapsed="false">
      <c r="A71" s="23" t="n">
        <v>67</v>
      </c>
      <c r="B71" s="23" t="s">
        <v>410</v>
      </c>
      <c r="C71" s="23" t="s">
        <v>411</v>
      </c>
      <c r="D71" s="23" t="s">
        <v>209</v>
      </c>
      <c r="E71" s="23" t="s">
        <v>205</v>
      </c>
      <c r="F71" s="24" t="n">
        <v>55</v>
      </c>
      <c r="G71" s="24" t="n">
        <v>1</v>
      </c>
      <c r="H71" s="25" t="n">
        <v>30105</v>
      </c>
      <c r="I71" s="24" t="n">
        <v>1.9</v>
      </c>
      <c r="J71" s="24" t="n">
        <v>15.4</v>
      </c>
      <c r="K71" s="24" t="n">
        <v>42</v>
      </c>
      <c r="L71" s="24" t="n">
        <v>18.1</v>
      </c>
      <c r="M71" s="24" t="n">
        <v>0</v>
      </c>
      <c r="N71" s="26" t="n">
        <v>0.83</v>
      </c>
      <c r="O71" s="26" t="n">
        <v>3.84</v>
      </c>
      <c r="P71" s="23" t="n">
        <v>55</v>
      </c>
      <c r="Q71" s="23" t="n">
        <v>16</v>
      </c>
      <c r="R71" s="23" t="n">
        <v>16</v>
      </c>
      <c r="S71" s="27"/>
      <c r="T71" s="27"/>
      <c r="U71" s="27"/>
      <c r="V71" s="27"/>
      <c r="W71" s="28"/>
      <c r="X71" s="27"/>
      <c r="Y71" s="27"/>
      <c r="Z71" s="27"/>
      <c r="AA71" s="27" t="s">
        <v>412</v>
      </c>
      <c r="AB71" s="27"/>
    </row>
    <row r="72" customFormat="false" ht="15" hidden="false" customHeight="false" outlineLevel="0" collapsed="false">
      <c r="A72" s="23" t="n">
        <v>68</v>
      </c>
      <c r="B72" s="23" t="s">
        <v>413</v>
      </c>
      <c r="C72" s="23" t="s">
        <v>414</v>
      </c>
      <c r="D72" s="23" t="s">
        <v>209</v>
      </c>
      <c r="E72" s="23" t="s">
        <v>215</v>
      </c>
      <c r="F72" s="24" t="n">
        <v>28</v>
      </c>
      <c r="G72" s="24" t="n">
        <v>0</v>
      </c>
      <c r="H72" s="25" t="n">
        <v>14775</v>
      </c>
      <c r="I72" s="24" t="n">
        <v>0.7</v>
      </c>
      <c r="J72" s="24" t="n">
        <v>9</v>
      </c>
      <c r="K72" s="24" t="n">
        <v>19.7</v>
      </c>
      <c r="L72" s="24" t="n">
        <v>5.7</v>
      </c>
      <c r="M72" s="24" t="n">
        <v>0</v>
      </c>
      <c r="N72" s="26" t="n">
        <v>8.86</v>
      </c>
      <c r="O72" s="26" t="n">
        <v>2.58</v>
      </c>
      <c r="P72" s="23" t="n">
        <v>28</v>
      </c>
      <c r="Q72" s="23" t="n">
        <v>73</v>
      </c>
      <c r="R72" s="23" t="n">
        <v>40</v>
      </c>
      <c r="S72" s="27"/>
      <c r="T72" s="27"/>
      <c r="U72" s="27"/>
      <c r="V72" s="27"/>
      <c r="W72" s="28"/>
      <c r="X72" s="27"/>
      <c r="Y72" s="27"/>
      <c r="Z72" s="27"/>
      <c r="AA72" s="27" t="s">
        <v>415</v>
      </c>
      <c r="AB72" s="27"/>
    </row>
    <row r="73" customFormat="false" ht="15" hidden="false" customHeight="false" outlineLevel="0" collapsed="false">
      <c r="A73" s="23" t="n">
        <v>69</v>
      </c>
      <c r="B73" s="23" t="s">
        <v>416</v>
      </c>
      <c r="C73" s="23" t="s">
        <v>417</v>
      </c>
      <c r="D73" s="23" t="s">
        <v>209</v>
      </c>
      <c r="E73" s="23" t="s">
        <v>205</v>
      </c>
      <c r="F73" s="24" t="n">
        <v>48</v>
      </c>
      <c r="G73" s="24" t="n">
        <v>1</v>
      </c>
      <c r="H73" s="25" t="n">
        <v>18906</v>
      </c>
      <c r="I73" s="24" t="n">
        <v>0</v>
      </c>
      <c r="J73" s="24" t="n">
        <v>26.4</v>
      </c>
      <c r="K73" s="24" t="n">
        <v>26.8</v>
      </c>
      <c r="L73" s="24" t="n">
        <v>7.6</v>
      </c>
      <c r="M73" s="24" t="n">
        <v>0</v>
      </c>
      <c r="N73" s="26" t="n">
        <v>1.21</v>
      </c>
      <c r="O73" s="26" t="n">
        <v>2.22</v>
      </c>
      <c r="P73" s="23" t="n">
        <v>48</v>
      </c>
      <c r="Q73" s="23" t="n">
        <v>57</v>
      </c>
      <c r="R73" s="23" t="n">
        <v>57</v>
      </c>
      <c r="S73" s="27"/>
      <c r="T73" s="27"/>
      <c r="U73" s="27"/>
      <c r="V73" s="27"/>
      <c r="W73" s="28"/>
      <c r="X73" s="27"/>
      <c r="Y73" s="27"/>
      <c r="Z73" s="27"/>
      <c r="AA73" s="27" t="s">
        <v>418</v>
      </c>
      <c r="AB73" s="27"/>
    </row>
    <row r="74" customFormat="false" ht="15" hidden="false" customHeight="false" outlineLevel="0" collapsed="false">
      <c r="A74" s="23" t="n">
        <v>70</v>
      </c>
      <c r="B74" s="23" t="s">
        <v>419</v>
      </c>
      <c r="C74" s="23" t="s">
        <v>420</v>
      </c>
      <c r="D74" s="23" t="s">
        <v>204</v>
      </c>
      <c r="E74" s="23" t="s">
        <v>222</v>
      </c>
      <c r="F74" s="24" t="n">
        <v>15</v>
      </c>
      <c r="G74" s="24" t="n">
        <v>0</v>
      </c>
      <c r="H74" s="25" t="n">
        <v>7765</v>
      </c>
      <c r="I74" s="24" t="n">
        <v>0.5</v>
      </c>
      <c r="J74" s="24" t="n">
        <v>4.8</v>
      </c>
      <c r="K74" s="24" t="n">
        <v>11.1</v>
      </c>
      <c r="L74" s="24" t="n">
        <v>3.3</v>
      </c>
      <c r="M74" s="24" t="n">
        <v>0</v>
      </c>
      <c r="N74" s="26" t="n">
        <v>7.72</v>
      </c>
      <c r="O74" s="26" t="n">
        <v>1.92</v>
      </c>
      <c r="P74" s="23" t="n">
        <v>15</v>
      </c>
      <c r="Q74" s="23" t="n">
        <v>73</v>
      </c>
      <c r="R74" s="23" t="n">
        <v>18</v>
      </c>
      <c r="S74" s="27"/>
      <c r="T74" s="27"/>
      <c r="U74" s="27"/>
      <c r="V74" s="27"/>
      <c r="W74" s="28"/>
      <c r="X74" s="27"/>
      <c r="Y74" s="27"/>
      <c r="Z74" s="27"/>
      <c r="AA74" s="27" t="s">
        <v>421</v>
      </c>
      <c r="AB74" s="27"/>
    </row>
    <row r="75" customFormat="false" ht="15" hidden="false" customHeight="false" outlineLevel="0" collapsed="false">
      <c r="A75" s="23" t="n">
        <v>71</v>
      </c>
      <c r="B75" s="23" t="s">
        <v>422</v>
      </c>
      <c r="C75" s="23" t="s">
        <v>423</v>
      </c>
      <c r="D75" s="23" t="s">
        <v>214</v>
      </c>
      <c r="E75" s="23" t="s">
        <v>215</v>
      </c>
      <c r="F75" s="24" t="n">
        <v>39</v>
      </c>
      <c r="G75" s="24" t="n">
        <v>5</v>
      </c>
      <c r="H75" s="25" t="n">
        <v>16848</v>
      </c>
      <c r="I75" s="24" t="n">
        <v>0</v>
      </c>
      <c r="J75" s="24" t="n">
        <v>21.5</v>
      </c>
      <c r="K75" s="24" t="n">
        <v>12.2</v>
      </c>
      <c r="L75" s="24" t="n">
        <v>5</v>
      </c>
      <c r="M75" s="24" t="n">
        <v>0</v>
      </c>
      <c r="N75" s="26" t="n">
        <v>9.88</v>
      </c>
      <c r="O75" s="26" t="n">
        <v>3.05</v>
      </c>
      <c r="P75" s="23" t="n">
        <v>39</v>
      </c>
      <c r="Q75" s="23" t="n">
        <v>23</v>
      </c>
      <c r="R75" s="23" t="n">
        <v>55</v>
      </c>
      <c r="S75" s="27"/>
      <c r="T75" s="27"/>
      <c r="U75" s="27"/>
      <c r="V75" s="27"/>
      <c r="W75" s="28"/>
      <c r="X75" s="27"/>
      <c r="Y75" s="27"/>
      <c r="Z75" s="27"/>
      <c r="AA75" s="27" t="s">
        <v>424</v>
      </c>
      <c r="AB75" s="27"/>
    </row>
    <row r="76" customFormat="false" ht="15" hidden="false" customHeight="false" outlineLevel="0" collapsed="false">
      <c r="A76" s="23" t="n">
        <v>72</v>
      </c>
      <c r="B76" s="23" t="s">
        <v>425</v>
      </c>
      <c r="C76" s="23" t="s">
        <v>426</v>
      </c>
      <c r="D76" s="23" t="s">
        <v>204</v>
      </c>
      <c r="E76" s="23" t="s">
        <v>215</v>
      </c>
      <c r="F76" s="24" t="n">
        <v>49</v>
      </c>
      <c r="G76" s="24" t="n">
        <v>1</v>
      </c>
      <c r="H76" s="25" t="n">
        <v>24945</v>
      </c>
      <c r="I76" s="24" t="n">
        <v>0</v>
      </c>
      <c r="J76" s="24" t="n">
        <v>15.2</v>
      </c>
      <c r="K76" s="24" t="n">
        <v>32.2</v>
      </c>
      <c r="L76" s="24" t="n">
        <v>17.2</v>
      </c>
      <c r="M76" s="24" t="n">
        <v>0</v>
      </c>
      <c r="N76" s="26" t="n">
        <v>9.61</v>
      </c>
      <c r="O76" s="26" t="n">
        <v>1.1</v>
      </c>
      <c r="P76" s="23" t="n">
        <v>49</v>
      </c>
      <c r="Q76" s="23" t="n">
        <v>17</v>
      </c>
      <c r="R76" s="23" t="n">
        <v>17</v>
      </c>
      <c r="S76" s="27"/>
      <c r="T76" s="27"/>
      <c r="U76" s="27"/>
      <c r="V76" s="27"/>
      <c r="W76" s="28"/>
      <c r="X76" s="27"/>
      <c r="Y76" s="27"/>
      <c r="Z76" s="27"/>
      <c r="AA76" s="27" t="s">
        <v>427</v>
      </c>
      <c r="AB76" s="27"/>
    </row>
    <row r="77" customFormat="false" ht="15" hidden="false" customHeight="false" outlineLevel="0" collapsed="false">
      <c r="A77" s="23" t="n">
        <v>73</v>
      </c>
      <c r="B77" s="23" t="s">
        <v>428</v>
      </c>
      <c r="C77" s="23" t="s">
        <v>429</v>
      </c>
      <c r="D77" s="23" t="s">
        <v>214</v>
      </c>
      <c r="E77" s="23" t="s">
        <v>215</v>
      </c>
      <c r="F77" s="24" t="n">
        <v>130</v>
      </c>
      <c r="G77" s="24" t="n">
        <v>1</v>
      </c>
      <c r="H77" s="25" t="n">
        <v>75448</v>
      </c>
      <c r="I77" s="24" t="n">
        <v>7.7</v>
      </c>
      <c r="J77" s="24" t="n">
        <v>41.2</v>
      </c>
      <c r="K77" s="24" t="n">
        <v>59.1</v>
      </c>
      <c r="L77" s="24" t="n">
        <v>50.9</v>
      </c>
      <c r="M77" s="24" t="n">
        <v>0</v>
      </c>
      <c r="N77" s="26" t="n">
        <v>7.94</v>
      </c>
      <c r="O77" s="26" t="n">
        <v>1.38</v>
      </c>
      <c r="P77" s="23" t="n">
        <v>130</v>
      </c>
      <c r="Q77" s="23" t="n">
        <v>73</v>
      </c>
      <c r="R77" s="23"/>
      <c r="S77" s="27"/>
      <c r="T77" s="27"/>
      <c r="U77" s="27"/>
      <c r="V77" s="27"/>
      <c r="W77" s="28"/>
      <c r="X77" s="27"/>
      <c r="Y77" s="27"/>
      <c r="Z77" s="27"/>
      <c r="AA77" s="27" t="s">
        <v>430</v>
      </c>
      <c r="AB77" s="27"/>
    </row>
    <row r="78" customFormat="false" ht="15" hidden="false" customHeight="false" outlineLevel="0" collapsed="false">
      <c r="A78" s="23" t="n">
        <v>74</v>
      </c>
      <c r="B78" s="23" t="s">
        <v>431</v>
      </c>
      <c r="C78" s="23" t="s">
        <v>432</v>
      </c>
      <c r="D78" s="23" t="s">
        <v>214</v>
      </c>
      <c r="E78" s="23" t="s">
        <v>222</v>
      </c>
      <c r="F78" s="24" t="n">
        <v>28</v>
      </c>
      <c r="G78" s="24" t="n">
        <v>0</v>
      </c>
      <c r="H78" s="25" t="n">
        <v>12438</v>
      </c>
      <c r="I78" s="24" t="n">
        <v>2.1</v>
      </c>
      <c r="J78" s="24" t="n">
        <v>13.2</v>
      </c>
      <c r="K78" s="24" t="n">
        <v>13.9</v>
      </c>
      <c r="L78" s="24" t="n">
        <v>8.9</v>
      </c>
      <c r="M78" s="24" t="n">
        <v>0</v>
      </c>
      <c r="N78" s="26" t="n">
        <v>8.87</v>
      </c>
      <c r="O78" s="26" t="n">
        <v>1.75</v>
      </c>
      <c r="P78" s="23" t="n">
        <v>28</v>
      </c>
      <c r="Q78" s="23" t="n">
        <v>73</v>
      </c>
      <c r="R78" s="23" t="n">
        <v>40</v>
      </c>
      <c r="S78" s="27"/>
      <c r="T78" s="27"/>
      <c r="U78" s="27"/>
      <c r="V78" s="27"/>
      <c r="W78" s="28"/>
      <c r="X78" s="27"/>
      <c r="Y78" s="27"/>
      <c r="Z78" s="27"/>
      <c r="AA78" s="27" t="s">
        <v>433</v>
      </c>
      <c r="AB78" s="27"/>
    </row>
    <row r="79" customFormat="false" ht="15" hidden="false" customHeight="false" outlineLevel="0" collapsed="false">
      <c r="A79" s="23" t="n">
        <v>75</v>
      </c>
      <c r="B79" s="23" t="s">
        <v>434</v>
      </c>
      <c r="C79" s="23" t="s">
        <v>435</v>
      </c>
      <c r="D79" s="23" t="s">
        <v>214</v>
      </c>
      <c r="E79" s="23" t="s">
        <v>205</v>
      </c>
      <c r="F79" s="24" t="n">
        <v>40</v>
      </c>
      <c r="G79" s="24" t="n">
        <v>1</v>
      </c>
      <c r="H79" s="25" t="n">
        <v>19604</v>
      </c>
      <c r="I79" s="24" t="n">
        <v>2.4</v>
      </c>
      <c r="J79" s="24" t="n">
        <v>23.6</v>
      </c>
      <c r="K79" s="24" t="n">
        <v>22.9</v>
      </c>
      <c r="L79" s="24" t="n">
        <v>6.8</v>
      </c>
      <c r="M79" s="24" t="n">
        <v>0</v>
      </c>
      <c r="N79" s="26" t="n">
        <v>7.79</v>
      </c>
      <c r="O79" s="26" t="n">
        <v>7.59</v>
      </c>
      <c r="P79" s="23" t="n">
        <v>40</v>
      </c>
      <c r="Q79" s="23" t="n">
        <v>28</v>
      </c>
      <c r="R79" s="23" t="n">
        <v>82</v>
      </c>
      <c r="S79" s="27"/>
      <c r="T79" s="27"/>
      <c r="U79" s="27"/>
      <c r="V79" s="27"/>
      <c r="W79" s="28"/>
      <c r="X79" s="27"/>
      <c r="Y79" s="27"/>
      <c r="Z79" s="27"/>
      <c r="AA79" s="27" t="s">
        <v>436</v>
      </c>
      <c r="AB79" s="27"/>
    </row>
    <row r="80" customFormat="false" ht="15" hidden="false" customHeight="false" outlineLevel="0" collapsed="false">
      <c r="A80" s="23" t="n">
        <v>76</v>
      </c>
      <c r="B80" s="23" t="s">
        <v>437</v>
      </c>
      <c r="C80" s="23" t="s">
        <v>438</v>
      </c>
      <c r="D80" s="23" t="s">
        <v>214</v>
      </c>
      <c r="E80" s="23" t="s">
        <v>215</v>
      </c>
      <c r="F80" s="24" t="n">
        <v>48</v>
      </c>
      <c r="G80" s="24" t="n">
        <v>0</v>
      </c>
      <c r="H80" s="25" t="n">
        <v>22186</v>
      </c>
      <c r="I80" s="24" t="n">
        <v>0.5</v>
      </c>
      <c r="J80" s="24" t="n">
        <v>25.6</v>
      </c>
      <c r="K80" s="24" t="n">
        <v>21.7</v>
      </c>
      <c r="L80" s="24" t="n">
        <v>14.8</v>
      </c>
      <c r="M80" s="24" t="n">
        <v>0</v>
      </c>
      <c r="N80" s="26" t="n">
        <v>9.45</v>
      </c>
      <c r="O80" s="26" t="n">
        <v>1.29</v>
      </c>
      <c r="P80" s="23" t="n">
        <v>48</v>
      </c>
      <c r="Q80" s="23" t="n">
        <v>17</v>
      </c>
      <c r="R80" s="23" t="n">
        <v>72</v>
      </c>
      <c r="S80" s="27"/>
      <c r="T80" s="27"/>
      <c r="U80" s="27"/>
      <c r="V80" s="27"/>
      <c r="W80" s="28"/>
      <c r="X80" s="27"/>
      <c r="Y80" s="27"/>
      <c r="Z80" s="27"/>
      <c r="AA80" s="27" t="s">
        <v>439</v>
      </c>
      <c r="AB80" s="27"/>
    </row>
    <row r="81" customFormat="false" ht="15" hidden="false" customHeight="false" outlineLevel="0" collapsed="false">
      <c r="A81" s="23" t="n">
        <v>77</v>
      </c>
      <c r="B81" s="23" t="s">
        <v>440</v>
      </c>
      <c r="C81" s="23" t="s">
        <v>441</v>
      </c>
      <c r="D81" s="23" t="s">
        <v>204</v>
      </c>
      <c r="E81" s="23" t="s">
        <v>205</v>
      </c>
      <c r="F81" s="24" t="n">
        <v>45</v>
      </c>
      <c r="G81" s="24" t="n">
        <v>2</v>
      </c>
      <c r="H81" s="25" t="n">
        <v>23588</v>
      </c>
      <c r="I81" s="24" t="n">
        <v>1.6</v>
      </c>
      <c r="J81" s="24" t="n">
        <v>20</v>
      </c>
      <c r="K81" s="24" t="n">
        <v>18.9</v>
      </c>
      <c r="L81" s="24" t="n">
        <v>7.1</v>
      </c>
      <c r="M81" s="24" t="n">
        <v>0</v>
      </c>
      <c r="N81" s="26" t="n">
        <v>8.91</v>
      </c>
      <c r="O81" s="26" t="n">
        <v>1.61</v>
      </c>
      <c r="P81" s="23" t="n">
        <v>45</v>
      </c>
      <c r="Q81" s="23" t="n">
        <v>17</v>
      </c>
      <c r="R81" s="23" t="n">
        <v>38</v>
      </c>
      <c r="S81" s="27"/>
      <c r="T81" s="27"/>
      <c r="U81" s="27"/>
      <c r="V81" s="27"/>
      <c r="W81" s="28"/>
      <c r="X81" s="27"/>
      <c r="Y81" s="27"/>
      <c r="Z81" s="27"/>
      <c r="AA81" s="27" t="s">
        <v>442</v>
      </c>
      <c r="AB81" s="27"/>
    </row>
    <row r="82" customFormat="false" ht="15" hidden="false" customHeight="false" outlineLevel="0" collapsed="false">
      <c r="A82" s="23" t="n">
        <v>78</v>
      </c>
      <c r="B82" s="23" t="s">
        <v>443</v>
      </c>
      <c r="C82" s="23" t="s">
        <v>444</v>
      </c>
      <c r="D82" s="23" t="s">
        <v>204</v>
      </c>
      <c r="E82" s="23" t="s">
        <v>222</v>
      </c>
      <c r="F82" s="24" t="n">
        <v>23</v>
      </c>
      <c r="G82" s="24" t="n">
        <v>2</v>
      </c>
      <c r="H82" s="25" t="n">
        <v>16763</v>
      </c>
      <c r="I82" s="24" t="n">
        <v>0</v>
      </c>
      <c r="J82" s="24" t="n">
        <v>10.2</v>
      </c>
      <c r="K82" s="24" t="n">
        <v>16</v>
      </c>
      <c r="L82" s="24" t="n">
        <v>3.9</v>
      </c>
      <c r="M82" s="24" t="n">
        <v>0</v>
      </c>
      <c r="N82" s="26" t="n">
        <v>9.03</v>
      </c>
      <c r="O82" s="26" t="n">
        <v>1.43</v>
      </c>
      <c r="P82" s="23" t="n">
        <v>23</v>
      </c>
      <c r="Q82" s="23" t="n">
        <v>73</v>
      </c>
      <c r="R82" s="23" t="n">
        <v>63</v>
      </c>
      <c r="S82" s="27"/>
      <c r="T82" s="27"/>
      <c r="U82" s="27"/>
      <c r="V82" s="27"/>
      <c r="W82" s="28"/>
      <c r="X82" s="27"/>
      <c r="Y82" s="27"/>
      <c r="Z82" s="27"/>
      <c r="AA82" s="27" t="s">
        <v>445</v>
      </c>
      <c r="AB82" s="27"/>
    </row>
    <row r="83" customFormat="false" ht="15" hidden="false" customHeight="false" outlineLevel="0" collapsed="false">
      <c r="A83" s="23" t="n">
        <v>79</v>
      </c>
      <c r="B83" s="23" t="s">
        <v>446</v>
      </c>
      <c r="C83" s="23" t="s">
        <v>447</v>
      </c>
      <c r="D83" s="23" t="s">
        <v>209</v>
      </c>
      <c r="E83" s="23" t="s">
        <v>222</v>
      </c>
      <c r="F83" s="24" t="n">
        <v>37</v>
      </c>
      <c r="G83" s="24" t="n">
        <v>1</v>
      </c>
      <c r="H83" s="25" t="n">
        <v>19323</v>
      </c>
      <c r="I83" s="24" t="n">
        <v>0.7</v>
      </c>
      <c r="J83" s="24" t="n">
        <v>11.9</v>
      </c>
      <c r="K83" s="24" t="n">
        <v>17</v>
      </c>
      <c r="L83" s="24" t="n">
        <v>18.5</v>
      </c>
      <c r="M83" s="24" t="n">
        <v>0.6</v>
      </c>
      <c r="N83" s="26" t="n">
        <v>9.33</v>
      </c>
      <c r="O83" s="26" t="n">
        <v>2.94</v>
      </c>
      <c r="P83" s="23" t="n">
        <v>37</v>
      </c>
      <c r="Q83" s="23" t="n">
        <v>23</v>
      </c>
      <c r="R83" s="23" t="n">
        <v>71</v>
      </c>
      <c r="S83" s="27"/>
      <c r="T83" s="27"/>
      <c r="U83" s="27"/>
      <c r="V83" s="27"/>
      <c r="W83" s="28"/>
      <c r="X83" s="27"/>
      <c r="Y83" s="27"/>
      <c r="Z83" s="27"/>
      <c r="AA83" s="27" t="s">
        <v>448</v>
      </c>
      <c r="AB83" s="27"/>
    </row>
    <row r="84" customFormat="false" ht="15" hidden="false" customHeight="false" outlineLevel="0" collapsed="false">
      <c r="A84" s="23" t="n">
        <v>80</v>
      </c>
      <c r="B84" s="23" t="s">
        <v>449</v>
      </c>
      <c r="C84" s="23" t="s">
        <v>450</v>
      </c>
      <c r="D84" s="23" t="s">
        <v>204</v>
      </c>
      <c r="E84" s="23" t="s">
        <v>215</v>
      </c>
      <c r="F84" s="24" t="n">
        <v>50</v>
      </c>
      <c r="G84" s="24" t="n">
        <v>2</v>
      </c>
      <c r="H84" s="25" t="n">
        <v>27635</v>
      </c>
      <c r="I84" s="24" t="n">
        <v>0.3</v>
      </c>
      <c r="J84" s="24" t="n">
        <v>19.8</v>
      </c>
      <c r="K84" s="24" t="n">
        <v>24.7</v>
      </c>
      <c r="L84" s="24" t="n">
        <v>18.2</v>
      </c>
      <c r="M84" s="24" t="n">
        <v>0</v>
      </c>
      <c r="N84" s="26" t="n">
        <v>8.56</v>
      </c>
      <c r="O84" s="26" t="n">
        <v>2.02</v>
      </c>
      <c r="P84" s="23" t="n">
        <v>50</v>
      </c>
      <c r="Q84" s="23" t="n">
        <v>17</v>
      </c>
      <c r="R84" s="23" t="n">
        <v>38</v>
      </c>
      <c r="S84" s="27"/>
      <c r="T84" s="27"/>
      <c r="U84" s="27"/>
      <c r="V84" s="27"/>
      <c r="W84" s="28"/>
      <c r="X84" s="27"/>
      <c r="Y84" s="27"/>
      <c r="Z84" s="27"/>
      <c r="AA84" s="27" t="s">
        <v>451</v>
      </c>
      <c r="AB84" s="27"/>
    </row>
    <row r="85" customFormat="false" ht="15" hidden="false" customHeight="false" outlineLevel="0" collapsed="false">
      <c r="A85" s="23" t="n">
        <v>81</v>
      </c>
      <c r="B85" s="23" t="s">
        <v>452</v>
      </c>
      <c r="C85" s="23" t="s">
        <v>453</v>
      </c>
      <c r="D85" s="23" t="s">
        <v>204</v>
      </c>
      <c r="E85" s="23" t="s">
        <v>205</v>
      </c>
      <c r="F85" s="24" t="n">
        <v>49</v>
      </c>
      <c r="G85" s="24" t="n">
        <v>1</v>
      </c>
      <c r="H85" s="25" t="n">
        <v>21764</v>
      </c>
      <c r="I85" s="24" t="n">
        <v>0</v>
      </c>
      <c r="J85" s="24" t="n">
        <v>16.9</v>
      </c>
      <c r="K85" s="24" t="n">
        <v>26.4</v>
      </c>
      <c r="L85" s="24" t="n">
        <v>8.8</v>
      </c>
      <c r="M85" s="24" t="n">
        <v>0</v>
      </c>
      <c r="N85" s="26" t="n">
        <v>11.1</v>
      </c>
      <c r="O85" s="26" t="n">
        <v>7.69</v>
      </c>
      <c r="P85" s="23" t="n">
        <v>49</v>
      </c>
      <c r="Q85" s="23" t="n">
        <v>81</v>
      </c>
      <c r="R85" s="23"/>
      <c r="S85" s="27"/>
      <c r="T85" s="27"/>
      <c r="U85" s="27"/>
      <c r="V85" s="27"/>
      <c r="W85" s="28"/>
      <c r="X85" s="27"/>
      <c r="Y85" s="27"/>
      <c r="Z85" s="27"/>
      <c r="AA85" s="27" t="s">
        <v>454</v>
      </c>
      <c r="AB85" s="27"/>
    </row>
    <row r="86" customFormat="false" ht="15" hidden="false" customHeight="false" outlineLevel="0" collapsed="false">
      <c r="A86" s="23" t="n">
        <v>82</v>
      </c>
      <c r="B86" s="23" t="s">
        <v>455</v>
      </c>
      <c r="C86" s="23" t="s">
        <v>456</v>
      </c>
      <c r="D86" s="23" t="s">
        <v>214</v>
      </c>
      <c r="E86" s="23" t="s">
        <v>215</v>
      </c>
      <c r="F86" s="24" t="n">
        <v>90</v>
      </c>
      <c r="G86" s="24" t="n">
        <v>3</v>
      </c>
      <c r="H86" s="25" t="n">
        <v>51208</v>
      </c>
      <c r="I86" s="24" t="n">
        <v>2.3</v>
      </c>
      <c r="J86" s="24" t="n">
        <v>47</v>
      </c>
      <c r="K86" s="24" t="n">
        <v>42.1</v>
      </c>
      <c r="L86" s="24" t="n">
        <v>23.5</v>
      </c>
      <c r="M86" s="24" t="n">
        <v>0</v>
      </c>
      <c r="N86" s="26" t="n">
        <v>7.54</v>
      </c>
      <c r="O86" s="26" t="n">
        <v>7.41</v>
      </c>
      <c r="P86" s="23" t="n">
        <v>90</v>
      </c>
      <c r="Q86" s="23" t="n">
        <v>28</v>
      </c>
      <c r="R86" s="23" t="n">
        <v>29</v>
      </c>
      <c r="S86" s="27"/>
      <c r="T86" s="27"/>
      <c r="U86" s="27"/>
      <c r="V86" s="27"/>
      <c r="W86" s="28"/>
      <c r="X86" s="27"/>
      <c r="Y86" s="27"/>
      <c r="Z86" s="27"/>
      <c r="AA86" s="27" t="s">
        <v>457</v>
      </c>
      <c r="AB86" s="27"/>
    </row>
    <row r="87" customFormat="false" ht="15" hidden="false" customHeight="false" outlineLevel="0" collapsed="false">
      <c r="A87" s="23" t="n">
        <v>83</v>
      </c>
      <c r="B87" s="23" t="s">
        <v>458</v>
      </c>
      <c r="C87" s="23" t="s">
        <v>459</v>
      </c>
      <c r="D87" s="23" t="s">
        <v>214</v>
      </c>
      <c r="E87" s="23" t="s">
        <v>222</v>
      </c>
      <c r="F87" s="24" t="n">
        <v>26</v>
      </c>
      <c r="G87" s="24" t="n">
        <v>1</v>
      </c>
      <c r="H87" s="25" t="n">
        <v>8902</v>
      </c>
      <c r="I87" s="24" t="n">
        <v>0</v>
      </c>
      <c r="J87" s="24" t="n">
        <v>13.2</v>
      </c>
      <c r="K87" s="24" t="n">
        <v>7.4</v>
      </c>
      <c r="L87" s="24" t="n">
        <v>8.8</v>
      </c>
      <c r="M87" s="24" t="n">
        <v>0</v>
      </c>
      <c r="N87" s="26" t="n">
        <v>9.97</v>
      </c>
      <c r="O87" s="26" t="n">
        <v>5.72</v>
      </c>
      <c r="P87" s="23" t="n">
        <v>26</v>
      </c>
      <c r="Q87" s="23" t="n">
        <v>28</v>
      </c>
      <c r="R87" s="23" t="n">
        <v>54</v>
      </c>
      <c r="S87" s="27"/>
      <c r="T87" s="27"/>
      <c r="U87" s="27"/>
      <c r="V87" s="27"/>
      <c r="W87" s="28"/>
      <c r="X87" s="27"/>
      <c r="Y87" s="27"/>
      <c r="Z87" s="27"/>
      <c r="AA87" s="27" t="s">
        <v>460</v>
      </c>
      <c r="AB87" s="27"/>
    </row>
    <row r="88" customFormat="false" ht="15" hidden="false" customHeight="false" outlineLevel="0" collapsed="false">
      <c r="A88" s="23" t="n">
        <v>84</v>
      </c>
      <c r="B88" s="23" t="s">
        <v>461</v>
      </c>
      <c r="C88" s="23" t="s">
        <v>462</v>
      </c>
      <c r="D88" s="23" t="s">
        <v>204</v>
      </c>
      <c r="E88" s="23" t="s">
        <v>210</v>
      </c>
      <c r="F88" s="24" t="n">
        <v>54</v>
      </c>
      <c r="G88" s="24" t="n">
        <v>0</v>
      </c>
      <c r="H88" s="25" t="n">
        <v>36135</v>
      </c>
      <c r="I88" s="24" t="n">
        <v>0.9</v>
      </c>
      <c r="J88" s="24" t="n">
        <v>16.7</v>
      </c>
      <c r="K88" s="24" t="n">
        <v>22.5</v>
      </c>
      <c r="L88" s="24" t="n">
        <v>24.1</v>
      </c>
      <c r="M88" s="24" t="n">
        <v>0</v>
      </c>
      <c r="N88" s="26" t="n">
        <v>9.54</v>
      </c>
      <c r="O88" s="26" t="n">
        <v>1.72</v>
      </c>
      <c r="P88" s="23" t="n">
        <v>54</v>
      </c>
      <c r="Q88" s="23" t="n">
        <v>17</v>
      </c>
      <c r="R88" s="23" t="n">
        <v>17</v>
      </c>
      <c r="S88" s="27"/>
      <c r="T88" s="27"/>
      <c r="U88" s="27"/>
      <c r="V88" s="27"/>
      <c r="W88" s="28"/>
      <c r="X88" s="27"/>
      <c r="Y88" s="27"/>
      <c r="Z88" s="27"/>
      <c r="AA88" s="27" t="s">
        <v>463</v>
      </c>
      <c r="AB88" s="27"/>
    </row>
    <row r="89" customFormat="false" ht="15" hidden="false" customHeight="false" outlineLevel="0" collapsed="false">
      <c r="A89" s="23" t="n">
        <v>85</v>
      </c>
      <c r="B89" s="23" t="s">
        <v>464</v>
      </c>
      <c r="C89" s="23" t="s">
        <v>465</v>
      </c>
      <c r="D89" s="23" t="s">
        <v>214</v>
      </c>
      <c r="E89" s="23" t="s">
        <v>222</v>
      </c>
      <c r="F89" s="24" t="n">
        <v>85</v>
      </c>
      <c r="G89" s="24" t="n">
        <v>3</v>
      </c>
      <c r="H89" s="25" t="n">
        <v>47523</v>
      </c>
      <c r="I89" s="24" t="n">
        <v>2.9</v>
      </c>
      <c r="J89" s="24" t="n">
        <v>33.3</v>
      </c>
      <c r="K89" s="24" t="n">
        <v>65.8</v>
      </c>
      <c r="L89" s="24" t="n">
        <v>11.4</v>
      </c>
      <c r="M89" s="24" t="n">
        <v>0</v>
      </c>
      <c r="N89" s="26" t="n">
        <v>12.47</v>
      </c>
      <c r="O89" s="26" t="n">
        <v>6.53</v>
      </c>
      <c r="P89" s="23" t="n">
        <v>85</v>
      </c>
      <c r="Q89" s="23" t="n">
        <v>85</v>
      </c>
      <c r="R89" s="23"/>
      <c r="S89" s="27"/>
      <c r="T89" s="27"/>
      <c r="U89" s="27"/>
      <c r="V89" s="27"/>
      <c r="W89" s="28"/>
      <c r="X89" s="27"/>
      <c r="Y89" s="27"/>
      <c r="Z89" s="27"/>
      <c r="AA89" s="27" t="s">
        <v>466</v>
      </c>
      <c r="AB89" s="27"/>
    </row>
    <row r="90" customFormat="false" ht="15" hidden="false" customHeight="false" outlineLevel="0" collapsed="false">
      <c r="A90" s="23" t="n">
        <v>86</v>
      </c>
      <c r="B90" s="23" t="s">
        <v>467</v>
      </c>
      <c r="C90" s="23" t="s">
        <v>468</v>
      </c>
      <c r="D90" s="23" t="s">
        <v>214</v>
      </c>
      <c r="E90" s="23" t="s">
        <v>205</v>
      </c>
      <c r="F90" s="24" t="n">
        <v>9</v>
      </c>
      <c r="G90" s="24" t="n">
        <v>0</v>
      </c>
      <c r="H90" s="25" t="n">
        <v>5216</v>
      </c>
      <c r="I90" s="24" t="n">
        <v>0</v>
      </c>
      <c r="J90" s="24" t="n">
        <v>1.9</v>
      </c>
      <c r="K90" s="24" t="n">
        <v>7.5</v>
      </c>
      <c r="L90" s="24" t="n">
        <v>2.4</v>
      </c>
      <c r="M90" s="24" t="n">
        <v>0</v>
      </c>
      <c r="N90" s="26" t="n">
        <v>11.66</v>
      </c>
      <c r="O90" s="26" t="n">
        <v>5.29</v>
      </c>
      <c r="P90" s="23" t="n">
        <v>9</v>
      </c>
      <c r="Q90" s="23" t="n">
        <v>85</v>
      </c>
      <c r="R90" s="23" t="n">
        <v>87</v>
      </c>
      <c r="S90" s="27"/>
      <c r="T90" s="27"/>
      <c r="U90" s="27"/>
      <c r="V90" s="27"/>
      <c r="W90" s="28"/>
      <c r="X90" s="27"/>
      <c r="Y90" s="27"/>
      <c r="Z90" s="27"/>
      <c r="AA90" s="27" t="s">
        <v>469</v>
      </c>
      <c r="AB90" s="27"/>
    </row>
    <row r="91" customFormat="false" ht="15" hidden="false" customHeight="false" outlineLevel="0" collapsed="false">
      <c r="A91" s="23" t="n">
        <v>87</v>
      </c>
      <c r="B91" s="23" t="s">
        <v>470</v>
      </c>
      <c r="C91" s="23" t="s">
        <v>471</v>
      </c>
      <c r="D91" s="23" t="s">
        <v>214</v>
      </c>
      <c r="E91" s="23" t="s">
        <v>205</v>
      </c>
      <c r="F91" s="24" t="n">
        <v>26</v>
      </c>
      <c r="G91" s="24" t="n">
        <v>0</v>
      </c>
      <c r="H91" s="25" t="n">
        <v>14389</v>
      </c>
      <c r="I91" s="24" t="n">
        <v>2.6</v>
      </c>
      <c r="J91" s="24" t="n">
        <v>8.1</v>
      </c>
      <c r="K91" s="24" t="n">
        <v>15.7</v>
      </c>
      <c r="L91" s="24" t="n">
        <v>9</v>
      </c>
      <c r="M91" s="24" t="n">
        <v>0</v>
      </c>
      <c r="N91" s="26" t="n">
        <v>11.67</v>
      </c>
      <c r="O91" s="26" t="n">
        <v>5.46</v>
      </c>
      <c r="P91" s="23" t="n">
        <v>26</v>
      </c>
      <c r="Q91" s="23" t="n">
        <v>85</v>
      </c>
      <c r="R91" s="23" t="n">
        <v>53</v>
      </c>
      <c r="S91" s="27"/>
      <c r="T91" s="27"/>
      <c r="U91" s="27"/>
      <c r="V91" s="27"/>
      <c r="W91" s="28"/>
      <c r="X91" s="27"/>
      <c r="Y91" s="27"/>
      <c r="Z91" s="27"/>
      <c r="AA91" s="27" t="s">
        <v>472</v>
      </c>
      <c r="AB91" s="27"/>
    </row>
    <row r="92" customFormat="false" ht="15" hidden="false" customHeight="false" outlineLevel="0" collapsed="false">
      <c r="A92" s="23" t="n">
        <v>88</v>
      </c>
      <c r="B92" s="23" t="s">
        <v>473</v>
      </c>
      <c r="C92" s="23" t="s">
        <v>474</v>
      </c>
      <c r="D92" s="23" t="s">
        <v>214</v>
      </c>
      <c r="E92" s="23" t="s">
        <v>215</v>
      </c>
      <c r="F92" s="24" t="n">
        <v>86</v>
      </c>
      <c r="G92" s="24" t="n">
        <v>0</v>
      </c>
      <c r="H92" s="25" t="n">
        <v>54091</v>
      </c>
      <c r="I92" s="24" t="n">
        <v>0</v>
      </c>
      <c r="J92" s="24" t="n">
        <v>21.8</v>
      </c>
      <c r="K92" s="24" t="n">
        <v>53.6</v>
      </c>
      <c r="L92" s="24" t="n">
        <v>28.7</v>
      </c>
      <c r="M92" s="24" t="n">
        <v>0</v>
      </c>
      <c r="N92" s="26" t="n">
        <v>11.24</v>
      </c>
      <c r="O92" s="26" t="n">
        <v>5.17</v>
      </c>
      <c r="P92" s="23" t="n">
        <v>86</v>
      </c>
      <c r="Q92" s="23" t="n">
        <v>49</v>
      </c>
      <c r="R92" s="23" t="n">
        <v>49</v>
      </c>
      <c r="S92" s="27"/>
      <c r="T92" s="27"/>
      <c r="U92" s="27"/>
      <c r="V92" s="27"/>
      <c r="W92" s="28"/>
      <c r="X92" s="27"/>
      <c r="Y92" s="27"/>
      <c r="Z92" s="27"/>
      <c r="AA92" s="27" t="s">
        <v>475</v>
      </c>
      <c r="AB92" s="27"/>
    </row>
    <row r="94" customFormat="false" ht="15" hidden="false" customHeight="false" outlineLevel="0" collapsed="false">
      <c r="A94" s="2" t="s">
        <v>476</v>
      </c>
    </row>
    <row r="95" customFormat="false" ht="15" hidden="false" customHeight="false" outlineLevel="0" collapsed="false">
      <c r="A95" s="2" t="s">
        <v>477</v>
      </c>
    </row>
  </sheetData>
  <autoFilter ref="A4:AB92"/>
  <dataValidations count="4">
    <dataValidation allowBlank="true" error="Nr. einer Anlage 1–88" errorStyle="stop" operator="between" showDropDown="false" showErrorMessage="true" showInputMessage="false" sqref="S5:T92" type="whole">
      <formula1>1</formula1>
      <formula2>88</formula2>
    </dataValidation>
    <dataValidation allowBlank="true" error="Reihenfolge 1, 2, 3 …" errorStyle="stop" operator="between" showDropDown="false" showErrorMessage="true" showInputMessage="false" sqref="U5:U92" type="whole">
      <formula1>1</formula1>
      <formula2>999</formula2>
    </dataValidation>
    <dataValidation allowBlank="true" error="VLAN-Block 1–15" errorStyle="stop" operator="between" showDropDown="false" showErrorMessage="true" showInputMessage="false" sqref="AB5:AB92" type="whole">
      <formula1>1</formula1>
      <formula2>15</formula2>
    </dataValidation>
    <dataValidation allowBlank="true" error="Quote 0 % bis 100 %" errorStyle="stop" operator="between" showDropDown="false" showErrorMessage="true" showInputMessage="false" sqref="W5:W92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10" min="6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4" min="13" style="0" width="10"/>
    <col collapsed="false" customWidth="true" hidden="false" outlineLevel="0" max="16" min="15" style="0" width="9"/>
    <col collapsed="false" customWidth="true" hidden="false" outlineLevel="0" max="20" min="17" style="0" width="10"/>
    <col collapsed="false" customWidth="true" hidden="false" outlineLevel="0" max="21" min="21" style="0" width="13"/>
    <col collapsed="false" customWidth="true" hidden="false" outlineLevel="0" max="22" min="22" style="0" width="9"/>
  </cols>
  <sheetData>
    <row r="1" customFormat="false" ht="18.55" hidden="false" customHeight="false" outlineLevel="0" collapsed="false">
      <c r="A1" s="1" t="s">
        <v>478</v>
      </c>
    </row>
    <row r="2" customFormat="false" ht="15" hidden="false" customHeight="false" outlineLevel="0" collapsed="false">
      <c r="A2" s="2" t="s">
        <v>479</v>
      </c>
    </row>
    <row r="4" customFormat="false" ht="45.75" hidden="false" customHeight="true" outlineLevel="0" collapsed="false">
      <c r="A4" s="5" t="s">
        <v>175</v>
      </c>
      <c r="B4" s="5" t="s">
        <v>176</v>
      </c>
      <c r="C4" s="5" t="s">
        <v>42</v>
      </c>
      <c r="D4" s="5" t="s">
        <v>480</v>
      </c>
      <c r="E4" s="5" t="s">
        <v>481</v>
      </c>
      <c r="F4" s="5" t="s">
        <v>482</v>
      </c>
      <c r="G4" s="5" t="s">
        <v>183</v>
      </c>
      <c r="H4" s="5" t="s">
        <v>184</v>
      </c>
      <c r="I4" s="5" t="s">
        <v>185</v>
      </c>
      <c r="J4" s="5" t="s">
        <v>186</v>
      </c>
      <c r="K4" s="5" t="s">
        <v>483</v>
      </c>
      <c r="L4" s="5" t="s">
        <v>484</v>
      </c>
      <c r="M4" s="5" t="s">
        <v>485</v>
      </c>
      <c r="N4" s="5" t="s">
        <v>486</v>
      </c>
      <c r="O4" s="5" t="s">
        <v>487</v>
      </c>
      <c r="P4" s="5" t="s">
        <v>488</v>
      </c>
      <c r="Q4" s="5" t="s">
        <v>489</v>
      </c>
      <c r="R4" s="5" t="s">
        <v>490</v>
      </c>
      <c r="S4" s="5" t="s">
        <v>491</v>
      </c>
      <c r="T4" s="5" t="s">
        <v>492</v>
      </c>
      <c r="U4" s="5" t="s">
        <v>493</v>
      </c>
      <c r="V4" s="5" t="s">
        <v>46</v>
      </c>
    </row>
    <row r="5" customFormat="false" ht="15" hidden="false" customHeight="false" outlineLevel="0" collapsed="false">
      <c r="A5" s="23" t="n">
        <f aca="false">Anlagen!A5</f>
        <v>1</v>
      </c>
      <c r="B5" s="23" t="str">
        <f aca="false">Anlagen!B5</f>
        <v>1. März</v>
      </c>
      <c r="C5" s="23" t="n">
        <f aca="false">Anlagen!F5</f>
        <v>30</v>
      </c>
      <c r="D5" s="23" t="n">
        <f aca="false">Anlagen!G5</f>
        <v>2</v>
      </c>
      <c r="E5" s="30" t="n">
        <f aca="false">D5/C5</f>
        <v>0.0666666666666667</v>
      </c>
      <c r="F5" s="30" t="n">
        <f aca="false">Anlagen!I5/MAX(0.0001,SUM(Anlagen!I5:M5))</f>
        <v>0.0101010101010101</v>
      </c>
      <c r="G5" s="30" t="n">
        <f aca="false">Anlagen!J5/MAX(0.0001,SUM(Anlagen!I5:M5))</f>
        <v>0.613636363636364</v>
      </c>
      <c r="H5" s="30" t="n">
        <f aca="false">Anlagen!K5/MAX(0.0001,SUM(Anlagen!I5:M5))</f>
        <v>0.272727272727273</v>
      </c>
      <c r="I5" s="30" t="n">
        <f aca="false">Anlagen!L5/MAX(0.0001,SUM(Anlagen!I5:M5))</f>
        <v>0.103535353535354</v>
      </c>
      <c r="J5" s="30" t="n">
        <f aca="false">Anlagen!M5/MAX(0.0001,SUM(Anlagen!I5:M5))</f>
        <v>0</v>
      </c>
      <c r="K5" s="30" t="n">
        <f aca="false">F5*Neig_1+G5*Neig_2+H5*Neig_3+I5*Neig_4+J5*Neig_5</f>
        <v>0.668181818181818</v>
      </c>
      <c r="L5" s="30" t="n">
        <f aca="false">IF(LEFT(Anlagen!D5,1)="A",Stufe_A,IF(LEFT(Anlagen!D5,1)="B",Stufe_B,IF(LEFT(Anlagen!D5,1)="C",Stufe_C,Stufe_D)))</f>
        <v>1</v>
      </c>
      <c r="M5" s="30" t="n">
        <f aca="false">K5*(1-E5)*L5</f>
        <v>0.623636363636364</v>
      </c>
      <c r="N5" s="30" t="n">
        <f aca="false">F5*Abg_1+G5*Abg_2+H5*Abg_3+I5*Abg_4+J5*Abg_5</f>
        <v>0.089520202020202</v>
      </c>
      <c r="O5" s="30" t="n">
        <f aca="false">MAX(0,MIN(1,Nachbes-E5*Nachbes_Leer))</f>
        <v>0.566666666666667</v>
      </c>
      <c r="P5" s="31" t="n">
        <f aca="false">D5+(C5-D5)*N5*(1-O5)</f>
        <v>3.08617845117845</v>
      </c>
      <c r="Q5" s="30" t="n">
        <f aca="false">P5/C5</f>
        <v>0.102872615039282</v>
      </c>
      <c r="R5" s="30" t="n">
        <f aca="false">(F5*(1-Abg_1)*Neig_1+G5*(1-Abg_2)*Neig_2+H5*(1-Abg_3)*Neig_3+I5*(1-Abg_4)*Neig_4+J5*(1-Abg_5)*Neig_5)/MAX(0.0001,1-N5)</f>
        <v>0.678248509222022</v>
      </c>
      <c r="S5" s="30" t="n">
        <f aca="false">(C5-D5)*((1-N5)*R5+N5*O5*Neig_Neu)*L5/C5</f>
        <v>0.611872474747475</v>
      </c>
      <c r="T5" s="30" t="n">
        <f aca="false">IF(Anlagen!W5&lt;&gt;"",Anlagen!W5,IF(Quote_Modus=2,Quote_fest,IF(Szenario=2,S5,M5)))</f>
        <v>0.623636363636364</v>
      </c>
      <c r="U5" s="23" t="str">
        <f aca="false">IF(Anlagen!W5&lt;&gt;"","manuell",IF(Quote_Modus=2,"fest",IF(Szenario=2,"Alter, in 5 J.","Alter, heute")))</f>
        <v>Alter, heute</v>
      </c>
      <c r="V5" s="31" t="n">
        <f aca="false">C5*T5</f>
        <v>18.7090909090909</v>
      </c>
    </row>
    <row r="6" customFormat="false" ht="15" hidden="false" customHeight="false" outlineLevel="0" collapsed="false">
      <c r="A6" s="23" t="n">
        <f aca="false">Anlagen!A6</f>
        <v>2</v>
      </c>
      <c r="B6" s="23" t="str">
        <f aca="false">Anlagen!B6</f>
        <v>Abendfrieden</v>
      </c>
      <c r="C6" s="23" t="n">
        <f aca="false">Anlagen!F6</f>
        <v>75</v>
      </c>
      <c r="D6" s="23" t="n">
        <f aca="false">Anlagen!G6</f>
        <v>4</v>
      </c>
      <c r="E6" s="30" t="n">
        <f aca="false">D6/C6</f>
        <v>0.0533333333333333</v>
      </c>
      <c r="F6" s="30" t="n">
        <f aca="false">Anlagen!I6/MAX(0.0001,SUM(Anlagen!I6:M6))</f>
        <v>0</v>
      </c>
      <c r="G6" s="30" t="n">
        <f aca="false">Anlagen!J6/MAX(0.0001,SUM(Anlagen!I6:M6))</f>
        <v>0.444444444444444</v>
      </c>
      <c r="H6" s="30" t="n">
        <f aca="false">Anlagen!K6/MAX(0.0001,SUM(Anlagen!I6:M6))</f>
        <v>0.402173913043478</v>
      </c>
      <c r="I6" s="30" t="n">
        <f aca="false">Anlagen!L6/MAX(0.0001,SUM(Anlagen!I6:M6))</f>
        <v>0.153381642512077</v>
      </c>
      <c r="J6" s="30" t="n">
        <f aca="false">Anlagen!M6/MAX(0.0001,SUM(Anlagen!I6:M6))</f>
        <v>0</v>
      </c>
      <c r="K6" s="30" t="n">
        <f aca="false">F6*Neig_1+G6*Neig_2+H6*Neig_3+I6*Neig_4+J6*Neig_5</f>
        <v>0.628321256038647</v>
      </c>
      <c r="L6" s="30" t="n">
        <f aca="false">IF(LEFT(Anlagen!D6,1)="A",Stufe_A,IF(LEFT(Anlagen!D6,1)="B",Stufe_B,IF(LEFT(Anlagen!D6,1)="C",Stufe_C,Stufe_D)))</f>
        <v>0.9</v>
      </c>
      <c r="M6" s="30" t="n">
        <f aca="false">K6*(1-E6)*L6</f>
        <v>0.535329710144928</v>
      </c>
      <c r="N6" s="30" t="n">
        <f aca="false">F6*Abg_1+G6*Abg_2+H6*Abg_3+I6*Abg_4+J6*Abg_5</f>
        <v>0.108454106280193</v>
      </c>
      <c r="O6" s="30" t="n">
        <f aca="false">MAX(0,MIN(1,Nachbes-E6*Nachbes_Leer))</f>
        <v>0.593333333333333</v>
      </c>
      <c r="P6" s="31" t="n">
        <f aca="false">D6+(C6-D6)*N6*(1-O6)</f>
        <v>7.13143156199678</v>
      </c>
      <c r="Q6" s="30" t="n">
        <f aca="false">P6/C6</f>
        <v>0.0950857541599571</v>
      </c>
      <c r="R6" s="30" t="n">
        <f aca="false">(F6*(1-Abg_1)*Neig_1+G6*(1-Abg_2)*Neig_2+H6*(1-Abg_3)*Neig_3+I6*(1-Abg_4)*Neig_4+J6*(1-Abg_5)*Neig_5)/MAX(0.0001,1-N6)</f>
        <v>0.640930642102411</v>
      </c>
      <c r="S6" s="30" t="n">
        <f aca="false">(C6-D6)*((1-N6)*R6+N6*O6*Neig_Neu)*L6/C6</f>
        <v>0.527968347826087</v>
      </c>
      <c r="T6" s="30" t="n">
        <f aca="false">IF(Anlagen!W6&lt;&gt;"",Anlagen!W6,IF(Quote_Modus=2,Quote_fest,IF(Szenario=2,S6,M6)))</f>
        <v>0.535329710144928</v>
      </c>
      <c r="U6" s="23" t="str">
        <f aca="false">IF(Anlagen!W6&lt;&gt;"","manuell",IF(Quote_Modus=2,"fest",IF(Szenario=2,"Alter, in 5 J.","Alter, heute")))</f>
        <v>Alter, heute</v>
      </c>
      <c r="V6" s="31" t="n">
        <f aca="false">C6*T6</f>
        <v>40.1497282608696</v>
      </c>
    </row>
    <row r="7" customFormat="false" ht="15" hidden="false" customHeight="false" outlineLevel="0" collapsed="false">
      <c r="A7" s="23" t="n">
        <f aca="false">Anlagen!A7</f>
        <v>3</v>
      </c>
      <c r="B7" s="23" t="str">
        <f aca="false">Anlagen!B7</f>
        <v>Abendrot</v>
      </c>
      <c r="C7" s="23" t="n">
        <f aca="false">Anlagen!F7</f>
        <v>137</v>
      </c>
      <c r="D7" s="23" t="n">
        <f aca="false">Anlagen!G7</f>
        <v>0</v>
      </c>
      <c r="E7" s="30" t="n">
        <f aca="false">D7/C7</f>
        <v>0</v>
      </c>
      <c r="F7" s="30" t="n">
        <f aca="false">Anlagen!I7/MAX(0.0001,SUM(Anlagen!I7:M7))</f>
        <v>0.00793257312840853</v>
      </c>
      <c r="G7" s="30" t="n">
        <f aca="false">Anlagen!J7/MAX(0.0001,SUM(Anlagen!I7:M7))</f>
        <v>0.210708973723351</v>
      </c>
      <c r="H7" s="30" t="n">
        <f aca="false">Anlagen!K7/MAX(0.0001,SUM(Anlagen!I7:M7))</f>
        <v>0.524045612295488</v>
      </c>
      <c r="I7" s="30" t="n">
        <f aca="false">Anlagen!L7/MAX(0.0001,SUM(Anlagen!I7:M7))</f>
        <v>0.257312840852752</v>
      </c>
      <c r="J7" s="30" t="n">
        <f aca="false">Anlagen!M7/MAX(0.0001,SUM(Anlagen!I7:M7))</f>
        <v>0</v>
      </c>
      <c r="K7" s="30" t="n">
        <f aca="false">F7*Neig_1+G7*Neig_2+H7*Neig_3+I7*Neig_4+J7*Neig_5</f>
        <v>0.568864650470996</v>
      </c>
      <c r="L7" s="30" t="n">
        <f aca="false">IF(LEFT(Anlagen!D7,1)="A",Stufe_A,IF(LEFT(Anlagen!D7,1)="B",Stufe_B,IF(LEFT(Anlagen!D7,1)="C",Stufe_C,Stufe_D)))</f>
        <v>1</v>
      </c>
      <c r="M7" s="30" t="n">
        <f aca="false">K7*(1-E7)*L7</f>
        <v>0.568864650470996</v>
      </c>
      <c r="N7" s="30" t="n">
        <f aca="false">F7*Abg_1+G7*Abg_2+H7*Abg_3+I7*Abg_4+J7*Abg_5</f>
        <v>0.140530490827962</v>
      </c>
      <c r="O7" s="30" t="n">
        <f aca="false">MAX(0,MIN(1,Nachbes-E7*Nachbes_Leer))</f>
        <v>0.7</v>
      </c>
      <c r="P7" s="31" t="n">
        <f aca="false">D7+(C7-D7)*N7*(1-O7)</f>
        <v>5.77580317302925</v>
      </c>
      <c r="Q7" s="30" t="n">
        <f aca="false">P7/C7</f>
        <v>0.0421591472483887</v>
      </c>
      <c r="R7" s="30" t="n">
        <f aca="false">(F7*(1-Abg_1)*Neig_1+G7*(1-Abg_2)*Neig_2+H7*(1-Abg_3)*Neig_3+I7*(1-Abg_4)*Neig_4+J7*(1-Abg_5)*Neig_5)/MAX(0.0001,1-N7)</f>
        <v>0.584296674454155</v>
      </c>
      <c r="S7" s="30" t="n">
        <f aca="false">(C7-D7)*((1-N7)*R7+N7*O7*Neig_Neu)*L7/C7</f>
        <v>0.575963683688646</v>
      </c>
      <c r="T7" s="30" t="n">
        <f aca="false">IF(Anlagen!W7&lt;&gt;"",Anlagen!W7,IF(Quote_Modus=2,Quote_fest,IF(Szenario=2,S7,M7)))</f>
        <v>0.568864650470996</v>
      </c>
      <c r="U7" s="23" t="str">
        <f aca="false">IF(Anlagen!W7&lt;&gt;"","manuell",IF(Quote_Modus=2,"fest",IF(Szenario=2,"Alter, in 5 J.","Alter, heute")))</f>
        <v>Alter, heute</v>
      </c>
      <c r="V7" s="31" t="n">
        <f aca="false">C7*T7</f>
        <v>77.9344571145265</v>
      </c>
    </row>
    <row r="8" customFormat="false" ht="15" hidden="false" customHeight="false" outlineLevel="0" collapsed="false">
      <c r="A8" s="23" t="n">
        <f aca="false">Anlagen!A8</f>
        <v>4</v>
      </c>
      <c r="B8" s="23" t="str">
        <f aca="false">Anlagen!B8</f>
        <v>Abendruh</v>
      </c>
      <c r="C8" s="23" t="n">
        <f aca="false">Anlagen!F8</f>
        <v>142</v>
      </c>
      <c r="D8" s="23" t="n">
        <f aca="false">Anlagen!G8</f>
        <v>0</v>
      </c>
      <c r="E8" s="30" t="n">
        <f aca="false">D8/C8</f>
        <v>0</v>
      </c>
      <c r="F8" s="30" t="n">
        <f aca="false">Anlagen!I8/MAX(0.0001,SUM(Anlagen!I8:M8))</f>
        <v>0.0158371040723982</v>
      </c>
      <c r="G8" s="30" t="n">
        <f aca="false">Anlagen!J8/MAX(0.0001,SUM(Anlagen!I8:M8))</f>
        <v>0.26527149321267</v>
      </c>
      <c r="H8" s="30" t="n">
        <f aca="false">Anlagen!K8/MAX(0.0001,SUM(Anlagen!I8:M8))</f>
        <v>0.403846153846154</v>
      </c>
      <c r="I8" s="30" t="n">
        <f aca="false">Anlagen!L8/MAX(0.0001,SUM(Anlagen!I8:M8))</f>
        <v>0.29920814479638</v>
      </c>
      <c r="J8" s="30" t="n">
        <f aca="false">Anlagen!M8/MAX(0.0001,SUM(Anlagen!I8:M8))</f>
        <v>0.0158371040723982</v>
      </c>
      <c r="K8" s="30" t="n">
        <f aca="false">F8*Neig_1+G8*Neig_2+H8*Neig_3+I8*Neig_4+J8*Neig_5</f>
        <v>0.560237556561086</v>
      </c>
      <c r="L8" s="30" t="n">
        <f aca="false">IF(LEFT(Anlagen!D8,1)="A",Stufe_A,IF(LEFT(Anlagen!D8,1)="B",Stufe_B,IF(LEFT(Anlagen!D8,1)="C",Stufe_C,Stufe_D)))</f>
        <v>1</v>
      </c>
      <c r="M8" s="30" t="n">
        <f aca="false">K8*(1-E8)*L8</f>
        <v>0.560237556561086</v>
      </c>
      <c r="N8" s="30" t="n">
        <f aca="false">F8*Abg_1+G8*Abg_2+H8*Abg_3+I8*Abg_4+J8*Abg_5</f>
        <v>0.153704751131222</v>
      </c>
      <c r="O8" s="30" t="n">
        <f aca="false">MAX(0,MIN(1,Nachbes-E8*Nachbes_Leer))</f>
        <v>0.7</v>
      </c>
      <c r="P8" s="31" t="n">
        <f aca="false">D8+(C8-D8)*N8*(1-O8)</f>
        <v>6.54782239819005</v>
      </c>
      <c r="Q8" s="30" t="n">
        <f aca="false">P8/C8</f>
        <v>0.0461114253393665</v>
      </c>
      <c r="R8" s="30" t="n">
        <f aca="false">(F8*(1-Abg_1)*Neig_1+G8*(1-Abg_2)*Neig_2+H8*(1-Abg_3)*Neig_3+I8*(1-Abg_4)*Neig_4+J8*(1-Abg_5)*Neig_5)/MAX(0.0001,1-N8)</f>
        <v>0.582608187134503</v>
      </c>
      <c r="S8" s="30" t="n">
        <f aca="false">(C8-D8)*((1-N8)*R8+N8*O8*Neig_Neu)*L8/C8</f>
        <v>0.573753535067873</v>
      </c>
      <c r="T8" s="30" t="n">
        <f aca="false">IF(Anlagen!W8&lt;&gt;"",Anlagen!W8,IF(Quote_Modus=2,Quote_fest,IF(Szenario=2,S8,M8)))</f>
        <v>0.560237556561086</v>
      </c>
      <c r="U8" s="23" t="str">
        <f aca="false">IF(Anlagen!W8&lt;&gt;"","manuell",IF(Quote_Modus=2,"fest",IF(Szenario=2,"Alter, in 5 J.","Alter, heute")))</f>
        <v>Alter, heute</v>
      </c>
      <c r="V8" s="31" t="n">
        <f aca="false">C8*T8</f>
        <v>79.5537330316742</v>
      </c>
    </row>
    <row r="9" customFormat="false" ht="15" hidden="false" customHeight="false" outlineLevel="0" collapsed="false">
      <c r="A9" s="23" t="n">
        <f aca="false">Anlagen!A9</f>
        <v>5</v>
      </c>
      <c r="B9" s="23" t="str">
        <f aca="false">Anlagen!B9</f>
        <v>Abendsonne</v>
      </c>
      <c r="C9" s="23" t="n">
        <f aca="false">Anlagen!F9</f>
        <v>67</v>
      </c>
      <c r="D9" s="23" t="n">
        <f aca="false">Anlagen!G9</f>
        <v>13</v>
      </c>
      <c r="E9" s="30" t="n">
        <f aca="false">D9/C9</f>
        <v>0.194029850746269</v>
      </c>
      <c r="F9" s="30" t="n">
        <f aca="false">Anlagen!I9/MAX(0.0001,SUM(Anlagen!I9:M9))</f>
        <v>0.0275974025974026</v>
      </c>
      <c r="G9" s="30" t="n">
        <f aca="false">Anlagen!J9/MAX(0.0001,SUM(Anlagen!I9:M9))</f>
        <v>0.349025974025974</v>
      </c>
      <c r="H9" s="30" t="n">
        <f aca="false">Anlagen!K9/MAX(0.0001,SUM(Anlagen!I9:M9))</f>
        <v>0.491883116883117</v>
      </c>
      <c r="I9" s="30" t="n">
        <f aca="false">Anlagen!L9/MAX(0.0001,SUM(Anlagen!I9:M9))</f>
        <v>0.131493506493507</v>
      </c>
      <c r="J9" s="30" t="n">
        <f aca="false">Anlagen!M9/MAX(0.0001,SUM(Anlagen!I9:M9))</f>
        <v>0</v>
      </c>
      <c r="K9" s="30" t="n">
        <f aca="false">F9*Neig_1+G9*Neig_2+H9*Neig_3+I9*Neig_4+J9*Neig_5</f>
        <v>0.625</v>
      </c>
      <c r="L9" s="30" t="n">
        <f aca="false">IF(LEFT(Anlagen!D9,1)="A",Stufe_A,IF(LEFT(Anlagen!D9,1)="B",Stufe_B,IF(LEFT(Anlagen!D9,1)="C",Stufe_C,Stufe_D)))</f>
        <v>1</v>
      </c>
      <c r="M9" s="30" t="n">
        <f aca="false">K9*(1-E9)*L9</f>
        <v>0.503731343283582</v>
      </c>
      <c r="N9" s="30" t="n">
        <f aca="false">F9*Abg_1+G9*Abg_2+H9*Abg_3+I9*Abg_4+J9*Abg_5</f>
        <v>0.107467532467532</v>
      </c>
      <c r="O9" s="30" t="n">
        <f aca="false">MAX(0,MIN(1,Nachbes-E9*Nachbes_Leer))</f>
        <v>0.311940298507463</v>
      </c>
      <c r="P9" s="31" t="n">
        <f aca="false">D9+(C9-D9)*N9*(1-O9)</f>
        <v>16.9929802287265</v>
      </c>
      <c r="Q9" s="30" t="n">
        <f aca="false">P9/C9</f>
        <v>0.253626570578007</v>
      </c>
      <c r="R9" s="30" t="n">
        <f aca="false">(F9*(1-Abg_1)*Neig_1+G9*(1-Abg_2)*Neig_2+H9*(1-Abg_3)*Neig_3+I9*(1-Abg_4)*Neig_4+J9*(1-Abg_5)*Neig_5)/MAX(0.0001,1-N9)</f>
        <v>0.635817570025464</v>
      </c>
      <c r="S9" s="30" t="n">
        <f aca="false">(C9-D9)*((1-N9)*R9+N9*O9*Neig_Neu)*L9/C9</f>
        <v>0.477642424266533</v>
      </c>
      <c r="T9" s="30" t="n">
        <f aca="false">IF(Anlagen!W9&lt;&gt;"",Anlagen!W9,IF(Quote_Modus=2,Quote_fest,IF(Szenario=2,S9,M9)))</f>
        <v>0.503731343283582</v>
      </c>
      <c r="U9" s="23" t="str">
        <f aca="false">IF(Anlagen!W9&lt;&gt;"","manuell",IF(Quote_Modus=2,"fest",IF(Szenario=2,"Alter, in 5 J.","Alter, heute")))</f>
        <v>Alter, heute</v>
      </c>
      <c r="V9" s="31" t="n">
        <f aca="false">C9*T9</f>
        <v>33.75</v>
      </c>
    </row>
    <row r="10" customFormat="false" ht="15" hidden="false" customHeight="false" outlineLevel="0" collapsed="false">
      <c r="A10" s="23" t="n">
        <f aca="false">Anlagen!A10</f>
        <v>6</v>
      </c>
      <c r="B10" s="23" t="str">
        <f aca="false">Anlagen!B10</f>
        <v>Altstadt Forst</v>
      </c>
      <c r="C10" s="23" t="n">
        <f aca="false">Anlagen!F10</f>
        <v>88</v>
      </c>
      <c r="D10" s="23" t="n">
        <f aca="false">Anlagen!G10</f>
        <v>0</v>
      </c>
      <c r="E10" s="30" t="n">
        <f aca="false">D10/C10</f>
        <v>0</v>
      </c>
      <c r="F10" s="30" t="n">
        <f aca="false">Anlagen!I10/MAX(0.0001,SUM(Anlagen!I10:M10))</f>
        <v>0.0158371040723982</v>
      </c>
      <c r="G10" s="30" t="n">
        <f aca="false">Anlagen!J10/MAX(0.0001,SUM(Anlagen!I10:M10))</f>
        <v>0.26527149321267</v>
      </c>
      <c r="H10" s="30" t="n">
        <f aca="false">Anlagen!K10/MAX(0.0001,SUM(Anlagen!I10:M10))</f>
        <v>0.403846153846154</v>
      </c>
      <c r="I10" s="30" t="n">
        <f aca="false">Anlagen!L10/MAX(0.0001,SUM(Anlagen!I10:M10))</f>
        <v>0.29920814479638</v>
      </c>
      <c r="J10" s="30" t="n">
        <f aca="false">Anlagen!M10/MAX(0.0001,SUM(Anlagen!I10:M10))</f>
        <v>0.0158371040723982</v>
      </c>
      <c r="K10" s="30" t="n">
        <f aca="false">F10*Neig_1+G10*Neig_2+H10*Neig_3+I10*Neig_4+J10*Neig_5</f>
        <v>0.560237556561086</v>
      </c>
      <c r="L10" s="30" t="n">
        <f aca="false">IF(LEFT(Anlagen!D10,1)="A",Stufe_A,IF(LEFT(Anlagen!D10,1)="B",Stufe_B,IF(LEFT(Anlagen!D10,1)="C",Stufe_C,Stufe_D)))</f>
        <v>1</v>
      </c>
      <c r="M10" s="30" t="n">
        <f aca="false">K10*(1-E10)*L10</f>
        <v>0.560237556561086</v>
      </c>
      <c r="N10" s="30" t="n">
        <f aca="false">F10*Abg_1+G10*Abg_2+H10*Abg_3+I10*Abg_4+J10*Abg_5</f>
        <v>0.153704751131222</v>
      </c>
      <c r="O10" s="30" t="n">
        <f aca="false">MAX(0,MIN(1,Nachbes-E10*Nachbes_Leer))</f>
        <v>0.7</v>
      </c>
      <c r="P10" s="31" t="n">
        <f aca="false">D10+(C10-D10)*N10*(1-O10)</f>
        <v>4.05780542986425</v>
      </c>
      <c r="Q10" s="30" t="n">
        <f aca="false">P10/C10</f>
        <v>0.0461114253393665</v>
      </c>
      <c r="R10" s="30" t="n">
        <f aca="false">(F10*(1-Abg_1)*Neig_1+G10*(1-Abg_2)*Neig_2+H10*(1-Abg_3)*Neig_3+I10*(1-Abg_4)*Neig_4+J10*(1-Abg_5)*Neig_5)/MAX(0.0001,1-N10)</f>
        <v>0.582608187134503</v>
      </c>
      <c r="S10" s="30" t="n">
        <f aca="false">(C10-D10)*((1-N10)*R10+N10*O10*Neig_Neu)*L10/C10</f>
        <v>0.573753535067873</v>
      </c>
      <c r="T10" s="30" t="n">
        <f aca="false">IF(Anlagen!W10&lt;&gt;"",Anlagen!W10,IF(Quote_Modus=2,Quote_fest,IF(Szenario=2,S10,M10)))</f>
        <v>0.560237556561086</v>
      </c>
      <c r="U10" s="23" t="str">
        <f aca="false">IF(Anlagen!W10&lt;&gt;"","manuell",IF(Quote_Modus=2,"fest",IF(Szenario=2,"Alter, in 5 J.","Alter, heute")))</f>
        <v>Alter, heute</v>
      </c>
      <c r="V10" s="31" t="n">
        <f aca="false">C10*T10</f>
        <v>49.3009049773756</v>
      </c>
    </row>
    <row r="11" customFormat="false" ht="15" hidden="false" customHeight="false" outlineLevel="0" collapsed="false">
      <c r="A11" s="23" t="n">
        <f aca="false">Anlagen!A11</f>
        <v>7</v>
      </c>
      <c r="B11" s="23" t="str">
        <f aca="false">Anlagen!B11</f>
        <v>Am Beetzseeufer</v>
      </c>
      <c r="C11" s="23" t="n">
        <f aca="false">Anlagen!F11</f>
        <v>77</v>
      </c>
      <c r="D11" s="23" t="n">
        <f aca="false">Anlagen!G11</f>
        <v>0</v>
      </c>
      <c r="E11" s="30" t="n">
        <f aca="false">D11/C11</f>
        <v>0</v>
      </c>
      <c r="F11" s="30" t="n">
        <f aca="false">Anlagen!I11/MAX(0.0001,SUM(Anlagen!I11:M11))</f>
        <v>0.000859106529209622</v>
      </c>
      <c r="G11" s="30" t="n">
        <f aca="false">Anlagen!J11/MAX(0.0001,SUM(Anlagen!I11:M11))</f>
        <v>0.38573883161512</v>
      </c>
      <c r="H11" s="30" t="n">
        <f aca="false">Anlagen!K11/MAX(0.0001,SUM(Anlagen!I11:M11))</f>
        <v>0.512886597938144</v>
      </c>
      <c r="I11" s="30" t="n">
        <f aca="false">Anlagen!L11/MAX(0.0001,SUM(Anlagen!I11:M11))</f>
        <v>0.100515463917526</v>
      </c>
      <c r="J11" s="30" t="n">
        <f aca="false">Anlagen!M11/MAX(0.0001,SUM(Anlagen!I11:M11))</f>
        <v>0</v>
      </c>
      <c r="K11" s="30" t="n">
        <f aca="false">F11*Neig_1+G11*Neig_2+H11*Neig_3+I11*Neig_4+J11*Neig_5</f>
        <v>0.632903780068728</v>
      </c>
      <c r="L11" s="30" t="n">
        <f aca="false">IF(LEFT(Anlagen!D11,1)="A",Stufe_A,IF(LEFT(Anlagen!D11,1)="B",Stufe_B,IF(LEFT(Anlagen!D11,1)="C",Stufe_C,Stufe_D)))</f>
        <v>1</v>
      </c>
      <c r="M11" s="30" t="n">
        <f aca="false">K11*(1-E11)*L11</f>
        <v>0.632903780068728</v>
      </c>
      <c r="N11" s="30" t="n">
        <f aca="false">F11*Abg_1+G11*Abg_2+H11*Abg_3+I11*Abg_4+J11*Abg_5</f>
        <v>0.100773195876289</v>
      </c>
      <c r="O11" s="30" t="n">
        <f aca="false">MAX(0,MIN(1,Nachbes-E11*Nachbes_Leer))</f>
        <v>0.7</v>
      </c>
      <c r="P11" s="31" t="n">
        <f aca="false">D11+(C11-D11)*N11*(1-O11)</f>
        <v>2.32786082474227</v>
      </c>
      <c r="Q11" s="30" t="n">
        <f aca="false">P11/C11</f>
        <v>0.0302319587628866</v>
      </c>
      <c r="R11" s="30" t="n">
        <f aca="false">(F11*(1-Abg_1)*Neig_1+G11*(1-Abg_2)*Neig_2+H11*(1-Abg_3)*Neig_3+I11*(1-Abg_4)*Neig_4+J11*(1-Abg_5)*Neig_5)/MAX(0.0001,1-N11)</f>
        <v>0.64174787427152</v>
      </c>
      <c r="S11" s="30" t="n">
        <f aca="false">(C11-D11)*((1-N11)*R11+N11*O11*Neig_Neu)*L11/C11</f>
        <v>0.629982817869416</v>
      </c>
      <c r="T11" s="30" t="n">
        <f aca="false">IF(Anlagen!W11&lt;&gt;"",Anlagen!W11,IF(Quote_Modus=2,Quote_fest,IF(Szenario=2,S11,M11)))</f>
        <v>0.632903780068728</v>
      </c>
      <c r="U11" s="23" t="str">
        <f aca="false">IF(Anlagen!W11&lt;&gt;"","manuell",IF(Quote_Modus=2,"fest",IF(Szenario=2,"Alter, in 5 J.","Alter, heute")))</f>
        <v>Alter, heute</v>
      </c>
      <c r="V11" s="31" t="n">
        <f aca="false">C11*T11</f>
        <v>48.7335910652921</v>
      </c>
    </row>
    <row r="12" customFormat="false" ht="15" hidden="false" customHeight="false" outlineLevel="0" collapsed="false">
      <c r="A12" s="23" t="n">
        <f aca="false">Anlagen!A12</f>
        <v>8</v>
      </c>
      <c r="B12" s="23" t="str">
        <f aca="false">Anlagen!B12</f>
        <v>Am Büttelhandfassgraben</v>
      </c>
      <c r="C12" s="23" t="n">
        <f aca="false">Anlagen!F12</f>
        <v>5</v>
      </c>
      <c r="D12" s="23" t="n">
        <f aca="false">Anlagen!G12</f>
        <v>0</v>
      </c>
      <c r="E12" s="30" t="n">
        <f aca="false">D12/C12</f>
        <v>0</v>
      </c>
      <c r="F12" s="30" t="n">
        <f aca="false">Anlagen!I12/MAX(0.0001,SUM(Anlagen!I12:M12))</f>
        <v>0.392857142857143</v>
      </c>
      <c r="G12" s="30" t="n">
        <f aca="false">Anlagen!J12/MAX(0.0001,SUM(Anlagen!I12:M12))</f>
        <v>0</v>
      </c>
      <c r="H12" s="30" t="n">
        <f aca="false">Anlagen!K12/MAX(0.0001,SUM(Anlagen!I12:M12))</f>
        <v>0.607142857142857</v>
      </c>
      <c r="I12" s="30" t="n">
        <f aca="false">Anlagen!L12/MAX(0.0001,SUM(Anlagen!I12:M12))</f>
        <v>0</v>
      </c>
      <c r="J12" s="30" t="n">
        <f aca="false">Anlagen!M12/MAX(0.0001,SUM(Anlagen!I12:M12))</f>
        <v>0</v>
      </c>
      <c r="K12" s="30" t="n">
        <f aca="false">F12*Neig_1+G12*Neig_2+H12*Neig_3+I12*Neig_4+J12*Neig_5</f>
        <v>0.678571428571429</v>
      </c>
      <c r="L12" s="30" t="n">
        <f aca="false">IF(LEFT(Anlagen!D12,1)="A",Stufe_A,IF(LEFT(Anlagen!D12,1)="B",Stufe_B,IF(LEFT(Anlagen!D12,1)="C",Stufe_C,Stufe_D)))</f>
        <v>1</v>
      </c>
      <c r="M12" s="30" t="n">
        <f aca="false">K12*(1-E12)*L12</f>
        <v>0.678571428571429</v>
      </c>
      <c r="N12" s="30" t="n">
        <f aca="false">F12*Abg_1+G12*Abg_2+H12*Abg_3+I12*Abg_4+J12*Abg_5</f>
        <v>0.0803571428571429</v>
      </c>
      <c r="O12" s="30" t="n">
        <f aca="false">MAX(0,MIN(1,Nachbes-E12*Nachbes_Leer))</f>
        <v>0.7</v>
      </c>
      <c r="P12" s="31" t="n">
        <f aca="false">D12+(C12-D12)*N12*(1-O12)</f>
        <v>0.120535714285714</v>
      </c>
      <c r="Q12" s="30" t="n">
        <f aca="false">P12/C12</f>
        <v>0.0241071428571429</v>
      </c>
      <c r="R12" s="30" t="n">
        <f aca="false">(F12*(1-Abg_1)*Neig_1+G12*(1-Abg_2)*Neig_2+H12*(1-Abg_3)*Neig_3+I12*(1-Abg_4)*Neig_4+J12*(1-Abg_5)*Neig_5)/MAX(0.0001,1-N12)</f>
        <v>0.68116504854369</v>
      </c>
      <c r="S12" s="30" t="n">
        <f aca="false">(C12-D12)*((1-N12)*R12+N12*O12*Neig_Neu)*L12/C12</f>
        <v>0.668616071428572</v>
      </c>
      <c r="T12" s="30" t="n">
        <f aca="false">IF(Anlagen!W12&lt;&gt;"",Anlagen!W12,IF(Quote_Modus=2,Quote_fest,IF(Szenario=2,S12,M12)))</f>
        <v>0.678571428571429</v>
      </c>
      <c r="U12" s="23" t="str">
        <f aca="false">IF(Anlagen!W12&lt;&gt;"","manuell",IF(Quote_Modus=2,"fest",IF(Szenario=2,"Alter, in 5 J.","Alter, heute")))</f>
        <v>Alter, heute</v>
      </c>
      <c r="V12" s="31" t="n">
        <f aca="false">C12*T12</f>
        <v>3.39285714285714</v>
      </c>
    </row>
    <row r="13" customFormat="false" ht="15" hidden="false" customHeight="false" outlineLevel="0" collapsed="false">
      <c r="A13" s="23" t="n">
        <f aca="false">Anlagen!A13</f>
        <v>9</v>
      </c>
      <c r="B13" s="23" t="str">
        <f aca="false">Anlagen!B13</f>
        <v>Am Eichenweg</v>
      </c>
      <c r="C13" s="23" t="n">
        <f aca="false">Anlagen!F13</f>
        <v>54</v>
      </c>
      <c r="D13" s="23" t="n">
        <f aca="false">Anlagen!G13</f>
        <v>2</v>
      </c>
      <c r="E13" s="30" t="n">
        <f aca="false">D13/C13</f>
        <v>0.037037037037037</v>
      </c>
      <c r="F13" s="30" t="n">
        <f aca="false">Anlagen!I13/MAX(0.0001,SUM(Anlagen!I13:M13))</f>
        <v>0.0138461538461538</v>
      </c>
      <c r="G13" s="30" t="n">
        <f aca="false">Anlagen!J13/MAX(0.0001,SUM(Anlagen!I13:M13))</f>
        <v>0.507692307692308</v>
      </c>
      <c r="H13" s="30" t="n">
        <f aca="false">Anlagen!K13/MAX(0.0001,SUM(Anlagen!I13:M13))</f>
        <v>0.341538461538462</v>
      </c>
      <c r="I13" s="30" t="n">
        <f aca="false">Anlagen!L13/MAX(0.0001,SUM(Anlagen!I13:M13))</f>
        <v>0.136923076923077</v>
      </c>
      <c r="J13" s="30" t="n">
        <f aca="false">Anlagen!M13/MAX(0.0001,SUM(Anlagen!I13:M13))</f>
        <v>0</v>
      </c>
      <c r="K13" s="30" t="n">
        <f aca="false">F13*Neig_1+G13*Neig_2+H13*Neig_3+I13*Neig_4+J13*Neig_5</f>
        <v>0.644692307692308</v>
      </c>
      <c r="L13" s="30" t="n">
        <f aca="false">IF(LEFT(Anlagen!D13,1)="A",Stufe_A,IF(LEFT(Anlagen!D13,1)="B",Stufe_B,IF(LEFT(Anlagen!D13,1)="C",Stufe_C,Stufe_D)))</f>
        <v>0.9</v>
      </c>
      <c r="M13" s="30" t="n">
        <f aca="false">K13*(1-E13)*L13</f>
        <v>0.558733333333333</v>
      </c>
      <c r="N13" s="30" t="n">
        <f aca="false">F13*Abg_1+G13*Abg_2+H13*Abg_3+I13*Abg_4+J13*Abg_5</f>
        <v>0.101307692307692</v>
      </c>
      <c r="O13" s="30" t="n">
        <f aca="false">MAX(0,MIN(1,Nachbes-E13*Nachbes_Leer))</f>
        <v>0.625925925925926</v>
      </c>
      <c r="P13" s="31" t="n">
        <f aca="false">D13+(C13-D13)*N13*(1-O13)</f>
        <v>3.97062222222222</v>
      </c>
      <c r="Q13" s="30" t="n">
        <f aca="false">P13/C13</f>
        <v>0.0735300411522634</v>
      </c>
      <c r="R13" s="30" t="n">
        <f aca="false">(F13*(1-Abg_1)*Neig_1+G13*(1-Abg_2)*Neig_2+H13*(1-Abg_3)*Neig_3+I13*(1-Abg_4)*Neig_4+J13*(1-Abg_5)*Neig_5)/MAX(0.0001,1-N13)</f>
        <v>0.656766241547548</v>
      </c>
      <c r="S13" s="30" t="n">
        <f aca="false">(C13-D13)*((1-N13)*R13+N13*O13*Neig_Neu)*L13/C13</f>
        <v>0.552750555555556</v>
      </c>
      <c r="T13" s="30" t="n">
        <f aca="false">IF(Anlagen!W13&lt;&gt;"",Anlagen!W13,IF(Quote_Modus=2,Quote_fest,IF(Szenario=2,S13,M13)))</f>
        <v>0.558733333333333</v>
      </c>
      <c r="U13" s="23" t="str">
        <f aca="false">IF(Anlagen!W13&lt;&gt;"","manuell",IF(Quote_Modus=2,"fest",IF(Szenario=2,"Alter, in 5 J.","Alter, heute")))</f>
        <v>Alter, heute</v>
      </c>
      <c r="V13" s="31" t="n">
        <f aca="false">C13*T13</f>
        <v>30.1716</v>
      </c>
    </row>
    <row r="14" customFormat="false" ht="15" hidden="false" customHeight="false" outlineLevel="0" collapsed="false">
      <c r="A14" s="23" t="n">
        <f aca="false">Anlagen!A14</f>
        <v>10</v>
      </c>
      <c r="B14" s="23" t="str">
        <f aca="false">Anlagen!B14</f>
        <v>Am Jakobsgraben</v>
      </c>
      <c r="C14" s="23" t="n">
        <f aca="false">Anlagen!F14</f>
        <v>41</v>
      </c>
      <c r="D14" s="23" t="n">
        <f aca="false">Anlagen!G14</f>
        <v>0</v>
      </c>
      <c r="E14" s="30" t="n">
        <f aca="false">D14/C14</f>
        <v>0</v>
      </c>
      <c r="F14" s="30" t="n">
        <f aca="false">Anlagen!I14/MAX(0.0001,SUM(Anlagen!I14:M14))</f>
        <v>0.00798403193612775</v>
      </c>
      <c r="G14" s="30" t="n">
        <f aca="false">Anlagen!J14/MAX(0.0001,SUM(Anlagen!I14:M14))</f>
        <v>0.349301397205589</v>
      </c>
      <c r="H14" s="30" t="n">
        <f aca="false">Anlagen!K14/MAX(0.0001,SUM(Anlagen!I14:M14))</f>
        <v>0.451097804391218</v>
      </c>
      <c r="I14" s="30" t="n">
        <f aca="false">Anlagen!L14/MAX(0.0001,SUM(Anlagen!I14:M14))</f>
        <v>0.191616766467066</v>
      </c>
      <c r="J14" s="30" t="n">
        <f aca="false">Anlagen!M14/MAX(0.0001,SUM(Anlagen!I14:M14))</f>
        <v>0</v>
      </c>
      <c r="K14" s="30" t="n">
        <f aca="false">F14*Neig_1+G14*Neig_2+H14*Neig_3+I14*Neig_4+J14*Neig_5</f>
        <v>0.606087824351297</v>
      </c>
      <c r="L14" s="30" t="n">
        <f aca="false">IF(LEFT(Anlagen!D14,1)="A",Stufe_A,IF(LEFT(Anlagen!D14,1)="B",Stufe_B,IF(LEFT(Anlagen!D14,1)="C",Stufe_C,Stufe_D)))</f>
        <v>0.75</v>
      </c>
      <c r="M14" s="30" t="n">
        <f aca="false">K14*(1-E14)*L14</f>
        <v>0.454565868263473</v>
      </c>
      <c r="N14" s="30" t="n">
        <f aca="false">F14*Abg_1+G14*Abg_2+H14*Abg_3+I14*Abg_4+J14*Abg_5</f>
        <v>0.120459081836327</v>
      </c>
      <c r="O14" s="30" t="n">
        <f aca="false">MAX(0,MIN(1,Nachbes-E14*Nachbes_Leer))</f>
        <v>0.7</v>
      </c>
      <c r="P14" s="31" t="n">
        <f aca="false">D14+(C14-D14)*N14*(1-O14)</f>
        <v>1.48164670658683</v>
      </c>
      <c r="Q14" s="30" t="n">
        <f aca="false">P14/C14</f>
        <v>0.0361377245508982</v>
      </c>
      <c r="R14" s="30" t="n">
        <f aca="false">(F14*(1-Abg_1)*Neig_1+G14*(1-Abg_2)*Neig_2+H14*(1-Abg_3)*Neig_3+I14*(1-Abg_4)*Neig_4+J14*(1-Abg_5)*Neig_5)/MAX(0.0001,1-N14)</f>
        <v>0.620191762169522</v>
      </c>
      <c r="S14" s="30" t="n">
        <f aca="false">(C14-D14)*((1-N14)*R14+N14*O14*Neig_Neu)*L14/C14</f>
        <v>0.45654378742515</v>
      </c>
      <c r="T14" s="30" t="n">
        <f aca="false">IF(Anlagen!W14&lt;&gt;"",Anlagen!W14,IF(Quote_Modus=2,Quote_fest,IF(Szenario=2,S14,M14)))</f>
        <v>0.454565868263473</v>
      </c>
      <c r="U14" s="23" t="str">
        <f aca="false">IF(Anlagen!W14&lt;&gt;"","manuell",IF(Quote_Modus=2,"fest",IF(Szenario=2,"Alter, in 5 J.","Alter, heute")))</f>
        <v>Alter, heute</v>
      </c>
      <c r="V14" s="31" t="n">
        <f aca="false">C14*T14</f>
        <v>18.6372005988024</v>
      </c>
    </row>
    <row r="15" customFormat="false" ht="15" hidden="false" customHeight="false" outlineLevel="0" collapsed="false">
      <c r="A15" s="23" t="n">
        <f aca="false">Anlagen!A15</f>
        <v>11</v>
      </c>
      <c r="B15" s="23" t="str">
        <f aca="false">Anlagen!B15</f>
        <v>Am Schafdamm</v>
      </c>
      <c r="C15" s="23" t="n">
        <f aca="false">Anlagen!F15</f>
        <v>10</v>
      </c>
      <c r="D15" s="23" t="n">
        <f aca="false">Anlagen!G15</f>
        <v>0</v>
      </c>
      <c r="E15" s="30" t="n">
        <f aca="false">D15/C15</f>
        <v>0</v>
      </c>
      <c r="F15" s="30" t="n">
        <f aca="false">Anlagen!I15/MAX(0.0001,SUM(Anlagen!I15:M15))</f>
        <v>0</v>
      </c>
      <c r="G15" s="30" t="n">
        <f aca="false">Anlagen!J15/MAX(0.0001,SUM(Anlagen!I15:M15))</f>
        <v>0.136752136752137</v>
      </c>
      <c r="H15" s="30" t="n">
        <f aca="false">Anlagen!K15/MAX(0.0001,SUM(Anlagen!I15:M15))</f>
        <v>0.435897435897436</v>
      </c>
      <c r="I15" s="30" t="n">
        <f aca="false">Anlagen!L15/MAX(0.0001,SUM(Anlagen!I15:M15))</f>
        <v>0.427350427350427</v>
      </c>
      <c r="J15" s="30" t="n">
        <f aca="false">Anlagen!M15/MAX(0.0001,SUM(Anlagen!I15:M15))</f>
        <v>0</v>
      </c>
      <c r="K15" s="30" t="n">
        <f aca="false">F15*Neig_1+G15*Neig_2+H15*Neig_3+I15*Neig_4+J15*Neig_5</f>
        <v>0.513675213675214</v>
      </c>
      <c r="L15" s="30" t="n">
        <f aca="false">IF(LEFT(Anlagen!D15,1)="A",Stufe_A,IF(LEFT(Anlagen!D15,1)="B",Stufe_B,IF(LEFT(Anlagen!D15,1)="C",Stufe_C,Stufe_D)))</f>
        <v>0.9</v>
      </c>
      <c r="M15" s="30" t="n">
        <f aca="false">K15*(1-E15)*L15</f>
        <v>0.462307692307692</v>
      </c>
      <c r="N15" s="30" t="n">
        <f aca="false">F15*Abg_1+G15*Abg_2+H15*Abg_3+I15*Abg_4+J15*Abg_5</f>
        <v>0.178632478632479</v>
      </c>
      <c r="O15" s="30" t="n">
        <f aca="false">MAX(0,MIN(1,Nachbes-E15*Nachbes_Leer))</f>
        <v>0.7</v>
      </c>
      <c r="P15" s="31" t="n">
        <f aca="false">D15+(C15-D15)*N15*(1-O15)</f>
        <v>0.535897435897436</v>
      </c>
      <c r="Q15" s="30" t="n">
        <f aca="false">P15/C15</f>
        <v>0.0535897435897436</v>
      </c>
      <c r="R15" s="30" t="n">
        <f aca="false">(F15*(1-Abg_1)*Neig_1+G15*(1-Abg_2)*Neig_2+H15*(1-Abg_3)*Neig_3+I15*(1-Abg_4)*Neig_4+J15*(1-Abg_5)*Neig_5)/MAX(0.0001,1-N15)</f>
        <v>0.53267429760666</v>
      </c>
      <c r="S15" s="30" t="n">
        <f aca="false">(C15-D15)*((1-N15)*R15+N15*O15*Neig_Neu)*L15/C15</f>
        <v>0.478173076923077</v>
      </c>
      <c r="T15" s="30" t="n">
        <f aca="false">IF(Anlagen!W15&lt;&gt;"",Anlagen!W15,IF(Quote_Modus=2,Quote_fest,IF(Szenario=2,S15,M15)))</f>
        <v>0.462307692307692</v>
      </c>
      <c r="U15" s="23" t="str">
        <f aca="false">IF(Anlagen!W15&lt;&gt;"","manuell",IF(Quote_Modus=2,"fest",IF(Szenario=2,"Alter, in 5 J.","Alter, heute")))</f>
        <v>Alter, heute</v>
      </c>
      <c r="V15" s="31" t="n">
        <f aca="false">C15*T15</f>
        <v>4.62307692307692</v>
      </c>
    </row>
    <row r="16" customFormat="false" ht="15" hidden="false" customHeight="false" outlineLevel="0" collapsed="false">
      <c r="A16" s="23" t="n">
        <f aca="false">Anlagen!A16</f>
        <v>12</v>
      </c>
      <c r="B16" s="23" t="str">
        <f aca="false">Anlagen!B16</f>
        <v>Am Schlangenpfad</v>
      </c>
      <c r="C16" s="23" t="n">
        <f aca="false">Anlagen!F16</f>
        <v>19</v>
      </c>
      <c r="D16" s="23" t="n">
        <f aca="false">Anlagen!G16</f>
        <v>0</v>
      </c>
      <c r="E16" s="30" t="n">
        <f aca="false">D16/C16</f>
        <v>0</v>
      </c>
      <c r="F16" s="30" t="n">
        <f aca="false">Anlagen!I16/MAX(0.0001,SUM(Anlagen!I16:M16))</f>
        <v>0</v>
      </c>
      <c r="G16" s="30" t="n">
        <f aca="false">Anlagen!J16/MAX(0.0001,SUM(Anlagen!I16:M16))</f>
        <v>0.111111111111111</v>
      </c>
      <c r="H16" s="30" t="n">
        <f aca="false">Anlagen!K16/MAX(0.0001,SUM(Anlagen!I16:M16))</f>
        <v>0.329501915708812</v>
      </c>
      <c r="I16" s="30" t="n">
        <f aca="false">Anlagen!L16/MAX(0.0001,SUM(Anlagen!I16:M16))</f>
        <v>0.559386973180077</v>
      </c>
      <c r="J16" s="30" t="n">
        <f aca="false">Anlagen!M16/MAX(0.0001,SUM(Anlagen!I16:M16))</f>
        <v>0</v>
      </c>
      <c r="K16" s="30" t="n">
        <f aca="false">F16*Neig_1+G16*Neig_2+H16*Neig_3+I16*Neig_4+J16*Neig_5</f>
        <v>0.476819923371647</v>
      </c>
      <c r="L16" s="30" t="n">
        <f aca="false">IF(LEFT(Anlagen!D16,1)="A",Stufe_A,IF(LEFT(Anlagen!D16,1)="B",Stufe_B,IF(LEFT(Anlagen!D16,1)="C",Stufe_C,Stufe_D)))</f>
        <v>0.9</v>
      </c>
      <c r="M16" s="30" t="n">
        <f aca="false">K16*(1-E16)*L16</f>
        <v>0.429137931034483</v>
      </c>
      <c r="N16" s="30" t="n">
        <f aca="false">F16*Abg_1+G16*Abg_2+H16*Abg_3+I16*Abg_4+J16*Abg_5</f>
        <v>0.20632183908046</v>
      </c>
      <c r="O16" s="30" t="n">
        <f aca="false">MAX(0,MIN(1,Nachbes-E16*Nachbes_Leer))</f>
        <v>0.7</v>
      </c>
      <c r="P16" s="31" t="n">
        <f aca="false">D16+(C16-D16)*N16*(1-O16)</f>
        <v>1.17603448275862</v>
      </c>
      <c r="Q16" s="30" t="n">
        <f aca="false">P16/C16</f>
        <v>0.0618965517241379</v>
      </c>
      <c r="R16" s="30" t="n">
        <f aca="false">(F16*(1-Abg_1)*Neig_1+G16*(1-Abg_2)*Neig_2+H16*(1-Abg_3)*Neig_3+I16*(1-Abg_4)*Neig_4+J16*(1-Abg_5)*Neig_5)/MAX(0.0001,1-N16)</f>
        <v>0.496608737629737</v>
      </c>
      <c r="S16" s="30" t="n">
        <f aca="false">(C16-D16)*((1-N16)*R16+N16*O16*Neig_Neu)*L16/C16</f>
        <v>0.452219827586207</v>
      </c>
      <c r="T16" s="30" t="n">
        <f aca="false">IF(Anlagen!W16&lt;&gt;"",Anlagen!W16,IF(Quote_Modus=2,Quote_fest,IF(Szenario=2,S16,M16)))</f>
        <v>0.429137931034483</v>
      </c>
      <c r="U16" s="23" t="str">
        <f aca="false">IF(Anlagen!W16&lt;&gt;"","manuell",IF(Quote_Modus=2,"fest",IF(Szenario=2,"Alter, in 5 J.","Alter, heute")))</f>
        <v>Alter, heute</v>
      </c>
      <c r="V16" s="31" t="n">
        <f aca="false">C16*T16</f>
        <v>8.15362068965517</v>
      </c>
    </row>
    <row r="17" customFormat="false" ht="15" hidden="false" customHeight="false" outlineLevel="0" collapsed="false">
      <c r="A17" s="23" t="n">
        <f aca="false">Anlagen!A17</f>
        <v>13</v>
      </c>
      <c r="B17" s="23" t="str">
        <f aca="false">Anlagen!B17</f>
        <v>Am Waldesrand</v>
      </c>
      <c r="C17" s="23" t="n">
        <f aca="false">Anlagen!F17</f>
        <v>96</v>
      </c>
      <c r="D17" s="23" t="n">
        <f aca="false">Anlagen!G17</f>
        <v>2</v>
      </c>
      <c r="E17" s="30" t="n">
        <f aca="false">D17/C17</f>
        <v>0.0208333333333333</v>
      </c>
      <c r="F17" s="30" t="n">
        <f aca="false">Anlagen!I17/MAX(0.0001,SUM(Anlagen!I17:M17))</f>
        <v>0.0494791666666667</v>
      </c>
      <c r="G17" s="30" t="n">
        <f aca="false">Anlagen!J17/MAX(0.0001,SUM(Anlagen!I17:M17))</f>
        <v>0.238715277777778</v>
      </c>
      <c r="H17" s="30" t="n">
        <f aca="false">Anlagen!K17/MAX(0.0001,SUM(Anlagen!I17:M17))</f>
        <v>0.3828125</v>
      </c>
      <c r="I17" s="30" t="n">
        <f aca="false">Anlagen!L17/MAX(0.0001,SUM(Anlagen!I17:M17))</f>
        <v>0.321180555555556</v>
      </c>
      <c r="J17" s="30" t="n">
        <f aca="false">Anlagen!M17/MAX(0.0001,SUM(Anlagen!I17:M17))</f>
        <v>0.0078125</v>
      </c>
      <c r="K17" s="30" t="n">
        <f aca="false">F17*Neig_1+G17*Neig_2+H17*Neig_3+I17*Neig_4+J17*Neig_5</f>
        <v>0.561501736111111</v>
      </c>
      <c r="L17" s="30" t="n">
        <f aca="false">IF(LEFT(Anlagen!D17,1)="A",Stufe_A,IF(LEFT(Anlagen!D17,1)="B",Stufe_B,IF(LEFT(Anlagen!D17,1)="C",Stufe_C,Stufe_D)))</f>
        <v>1</v>
      </c>
      <c r="M17" s="30" t="n">
        <f aca="false">K17*(1-E17)*L17</f>
        <v>0.549803783275463</v>
      </c>
      <c r="N17" s="30" t="n">
        <f aca="false">F17*Abg_1+G17*Abg_2+H17*Abg_3+I17*Abg_4+J17*Abg_5</f>
        <v>0.153732638888889</v>
      </c>
      <c r="O17" s="30" t="n">
        <f aca="false">MAX(0,MIN(1,Nachbes-E17*Nachbes_Leer))</f>
        <v>0.658333333333333</v>
      </c>
      <c r="P17" s="31" t="n">
        <f aca="false">D17+(C17-D17)*N17*(1-O17)</f>
        <v>6.93737991898148</v>
      </c>
      <c r="Q17" s="30" t="n">
        <f aca="false">P17/C17</f>
        <v>0.0722643741560571</v>
      </c>
      <c r="R17" s="30" t="n">
        <f aca="false">(F17*(1-Abg_1)*Neig_1+G17*(1-Abg_2)*Neig_2+H17*(1-Abg_3)*Neig_3+I17*(1-Abg_4)*Neig_4+J17*(1-Abg_5)*Neig_5)/MAX(0.0001,1-N17)</f>
        <v>0.5830418504462</v>
      </c>
      <c r="S17" s="30" t="n">
        <f aca="false">(C17-D17)*((1-N17)*R17+N17*O17*Neig_Neu)*L17/C17</f>
        <v>0.557454054090712</v>
      </c>
      <c r="T17" s="30" t="n">
        <f aca="false">IF(Anlagen!W17&lt;&gt;"",Anlagen!W17,IF(Quote_Modus=2,Quote_fest,IF(Szenario=2,S17,M17)))</f>
        <v>0.549803783275463</v>
      </c>
      <c r="U17" s="23" t="str">
        <f aca="false">IF(Anlagen!W17&lt;&gt;"","manuell",IF(Quote_Modus=2,"fest",IF(Szenario=2,"Alter, in 5 J.","Alter, heute")))</f>
        <v>Alter, heute</v>
      </c>
      <c r="V17" s="31" t="n">
        <f aca="false">C17*T17</f>
        <v>52.7811631944444</v>
      </c>
    </row>
    <row r="18" customFormat="false" ht="15" hidden="false" customHeight="false" outlineLevel="0" collapsed="false">
      <c r="A18" s="23" t="n">
        <f aca="false">Anlagen!A18</f>
        <v>14</v>
      </c>
      <c r="B18" s="23" t="str">
        <f aca="false">Anlagen!B18</f>
        <v>An der Plane I</v>
      </c>
      <c r="C18" s="23" t="n">
        <f aca="false">Anlagen!F18</f>
        <v>16</v>
      </c>
      <c r="D18" s="23" t="n">
        <f aca="false">Anlagen!G18</f>
        <v>0</v>
      </c>
      <c r="E18" s="30" t="n">
        <f aca="false">D18/C18</f>
        <v>0</v>
      </c>
      <c r="F18" s="30" t="n">
        <f aca="false">Anlagen!I18/MAX(0.0001,SUM(Anlagen!I18:M18))</f>
        <v>0</v>
      </c>
      <c r="G18" s="30" t="n">
        <f aca="false">Anlagen!J18/MAX(0.0001,SUM(Anlagen!I18:M18))</f>
        <v>0.149732620320856</v>
      </c>
      <c r="H18" s="30" t="n">
        <f aca="false">Anlagen!K18/MAX(0.0001,SUM(Anlagen!I18:M18))</f>
        <v>0.518716577540107</v>
      </c>
      <c r="I18" s="30" t="n">
        <f aca="false">Anlagen!L18/MAX(0.0001,SUM(Anlagen!I18:M18))</f>
        <v>0.331550802139038</v>
      </c>
      <c r="J18" s="30" t="n">
        <f aca="false">Anlagen!M18/MAX(0.0001,SUM(Anlagen!I18:M18))</f>
        <v>0</v>
      </c>
      <c r="K18" s="30" t="n">
        <f aca="false">F18*Neig_1+G18*Neig_2+H18*Neig_3+I18*Neig_4+J18*Neig_5</f>
        <v>0.539572192513369</v>
      </c>
      <c r="L18" s="30" t="n">
        <f aca="false">IF(LEFT(Anlagen!D18,1)="A",Stufe_A,IF(LEFT(Anlagen!D18,1)="B",Stufe_B,IF(LEFT(Anlagen!D18,1)="C",Stufe_C,Stufe_D)))</f>
        <v>0.9</v>
      </c>
      <c r="M18" s="30" t="n">
        <f aca="false">K18*(1-E18)*L18</f>
        <v>0.485614973262032</v>
      </c>
      <c r="N18" s="30" t="n">
        <f aca="false">F18*Abg_1+G18*Abg_2+H18*Abg_3+I18*Abg_4+J18*Abg_5</f>
        <v>0.158823529411765</v>
      </c>
      <c r="O18" s="30" t="n">
        <f aca="false">MAX(0,MIN(1,Nachbes-E18*Nachbes_Leer))</f>
        <v>0.7</v>
      </c>
      <c r="P18" s="31" t="n">
        <f aca="false">D18+(C18-D18)*N18*(1-O18)</f>
        <v>0.762352941176471</v>
      </c>
      <c r="Q18" s="30" t="n">
        <f aca="false">P18/C18</f>
        <v>0.0476470588235294</v>
      </c>
      <c r="R18" s="30" t="n">
        <f aca="false">(F18*(1-Abg_1)*Neig_1+G18*(1-Abg_2)*Neig_2+H18*(1-Abg_3)*Neig_3+I18*(1-Abg_4)*Neig_4+J18*(1-Abg_5)*Neig_5)/MAX(0.0001,1-N18)</f>
        <v>0.556389065479975</v>
      </c>
      <c r="S18" s="30" t="n">
        <f aca="false">(C18-D18)*((1-N18)*R18+N18*O18*Neig_Neu)*L18/C18</f>
        <v>0.496263368983957</v>
      </c>
      <c r="T18" s="30" t="n">
        <f aca="false">IF(Anlagen!W18&lt;&gt;"",Anlagen!W18,IF(Quote_Modus=2,Quote_fest,IF(Szenario=2,S18,M18)))</f>
        <v>0.485614973262032</v>
      </c>
      <c r="U18" s="23" t="str">
        <f aca="false">IF(Anlagen!W18&lt;&gt;"","manuell",IF(Quote_Modus=2,"fest",IF(Szenario=2,"Alter, in 5 J.","Alter, heute")))</f>
        <v>Alter, heute</v>
      </c>
      <c r="V18" s="31" t="n">
        <f aca="false">C18*T18</f>
        <v>7.76983957219251</v>
      </c>
    </row>
    <row r="19" customFormat="false" ht="15" hidden="false" customHeight="false" outlineLevel="0" collapsed="false">
      <c r="A19" s="23" t="n">
        <f aca="false">Anlagen!A19</f>
        <v>15</v>
      </c>
      <c r="B19" s="23" t="str">
        <f aca="false">Anlagen!B19</f>
        <v>Bergeshöh</v>
      </c>
      <c r="C19" s="23" t="n">
        <f aca="false">Anlagen!F19</f>
        <v>14</v>
      </c>
      <c r="D19" s="23" t="n">
        <f aca="false">Anlagen!G19</f>
        <v>1</v>
      </c>
      <c r="E19" s="30" t="n">
        <f aca="false">D19/C19</f>
        <v>0.0714285714285714</v>
      </c>
      <c r="F19" s="30" t="n">
        <f aca="false">Anlagen!I19/MAX(0.0001,SUM(Anlagen!I19:M19))</f>
        <v>0</v>
      </c>
      <c r="G19" s="30" t="n">
        <f aca="false">Anlagen!J19/MAX(0.0001,SUM(Anlagen!I19:M19))</f>
        <v>0.659685863874346</v>
      </c>
      <c r="H19" s="30" t="n">
        <f aca="false">Anlagen!K19/MAX(0.0001,SUM(Anlagen!I19:M19))</f>
        <v>0.172774869109948</v>
      </c>
      <c r="I19" s="30" t="n">
        <f aca="false">Anlagen!L19/MAX(0.0001,SUM(Anlagen!I19:M19))</f>
        <v>0.167539267015707</v>
      </c>
      <c r="J19" s="30" t="n">
        <f aca="false">Anlagen!M19/MAX(0.0001,SUM(Anlagen!I19:M19))</f>
        <v>0</v>
      </c>
      <c r="K19" s="30" t="n">
        <f aca="false">F19*Neig_1+G19*Neig_2+H19*Neig_3+I19*Neig_4+J19*Neig_5</f>
        <v>0.657068062827225</v>
      </c>
      <c r="L19" s="30" t="n">
        <f aca="false">IF(LEFT(Anlagen!D19,1)="A",Stufe_A,IF(LEFT(Anlagen!D19,1)="B",Stufe_B,IF(LEFT(Anlagen!D19,1)="C",Stufe_C,Stufe_D)))</f>
        <v>1</v>
      </c>
      <c r="M19" s="30" t="n">
        <f aca="false">K19*(1-E19)*L19</f>
        <v>0.610134629768138</v>
      </c>
      <c r="N19" s="30" t="n">
        <f aca="false">F19*Abg_1+G19*Abg_2+H19*Abg_3+I19*Abg_4+J19*Abg_5</f>
        <v>0.100523560209424</v>
      </c>
      <c r="O19" s="30" t="n">
        <f aca="false">MAX(0,MIN(1,Nachbes-E19*Nachbes_Leer))</f>
        <v>0.557142857142857</v>
      </c>
      <c r="P19" s="31" t="n">
        <f aca="false">D19+(C19-D19)*N19*(1-O19)</f>
        <v>1.57872849663426</v>
      </c>
      <c r="Q19" s="30" t="n">
        <f aca="false">P19/C19</f>
        <v>0.112766321188161</v>
      </c>
      <c r="R19" s="30" t="n">
        <f aca="false">(F19*(1-Abg_1)*Neig_1+G19*(1-Abg_2)*Neig_2+H19*(1-Abg_3)*Neig_3+I19*(1-Abg_4)*Neig_4+J19*(1-Abg_5)*Neig_5)/MAX(0.0001,1-N19)</f>
        <v>0.671915017462165</v>
      </c>
      <c r="S19" s="30" t="n">
        <f aca="false">(C19-D19)*((1-N19)*R19+N19*O19*Neig_Neu)*L19/C19</f>
        <v>0.600206485735656</v>
      </c>
      <c r="T19" s="30" t="n">
        <f aca="false">IF(Anlagen!W19&lt;&gt;"",Anlagen!W19,IF(Quote_Modus=2,Quote_fest,IF(Szenario=2,S19,M19)))</f>
        <v>0.610134629768138</v>
      </c>
      <c r="U19" s="23" t="str">
        <f aca="false">IF(Anlagen!W19&lt;&gt;"","manuell",IF(Quote_Modus=2,"fest",IF(Szenario=2,"Alter, in 5 J.","Alter, heute")))</f>
        <v>Alter, heute</v>
      </c>
      <c r="V19" s="31" t="n">
        <f aca="false">C19*T19</f>
        <v>8.54188481675393</v>
      </c>
    </row>
    <row r="20" customFormat="false" ht="15" hidden="false" customHeight="false" outlineLevel="0" collapsed="false">
      <c r="A20" s="23" t="n">
        <f aca="false">Anlagen!A20</f>
        <v>16</v>
      </c>
      <c r="B20" s="23" t="str">
        <f aca="false">Anlagen!B20</f>
        <v>Bergfrieden</v>
      </c>
      <c r="C20" s="23" t="n">
        <f aca="false">Anlagen!F20</f>
        <v>130</v>
      </c>
      <c r="D20" s="23" t="n">
        <f aca="false">Anlagen!G20</f>
        <v>17</v>
      </c>
      <c r="E20" s="30" t="n">
        <f aca="false">D20/C20</f>
        <v>0.130769230769231</v>
      </c>
      <c r="F20" s="30" t="n">
        <f aca="false">Anlagen!I20/MAX(0.0001,SUM(Anlagen!I20:M20))</f>
        <v>0.0365764447695684</v>
      </c>
      <c r="G20" s="30" t="n">
        <f aca="false">Anlagen!J20/MAX(0.0001,SUM(Anlagen!I20:M20))</f>
        <v>0.284564740307242</v>
      </c>
      <c r="H20" s="30" t="n">
        <f aca="false">Anlagen!K20/MAX(0.0001,SUM(Anlagen!I20:M20))</f>
        <v>0.334308705193855</v>
      </c>
      <c r="I20" s="30" t="n">
        <f aca="false">Anlagen!L20/MAX(0.0001,SUM(Anlagen!I20:M20))</f>
        <v>0.343818580833943</v>
      </c>
      <c r="J20" s="30" t="n">
        <f aca="false">Anlagen!M20/MAX(0.0001,SUM(Anlagen!I20:M20))</f>
        <v>0.000731528895391368</v>
      </c>
      <c r="K20" s="30" t="n">
        <f aca="false">F20*Neig_1+G20*Neig_2+H20*Neig_3+I20*Neig_4+J20*Neig_5</f>
        <v>0.563679590343819</v>
      </c>
      <c r="L20" s="30" t="n">
        <f aca="false">IF(LEFT(Anlagen!D20,1)="A",Stufe_A,IF(LEFT(Anlagen!D20,1)="B",Stufe_B,IF(LEFT(Anlagen!D20,1)="C",Stufe_C,Stufe_D)))</f>
        <v>0.9</v>
      </c>
      <c r="M20" s="30" t="n">
        <f aca="false">K20*(1-E20)*L20</f>
        <v>0.440970879522818</v>
      </c>
      <c r="N20" s="30" t="n">
        <f aca="false">F20*Abg_1+G20*Abg_2+H20*Abg_3+I20*Abg_4+J20*Abg_5</f>
        <v>0.153072421360644</v>
      </c>
      <c r="O20" s="30" t="n">
        <f aca="false">MAX(0,MIN(1,Nachbes-E20*Nachbes_Leer))</f>
        <v>0.438461538461538</v>
      </c>
      <c r="P20" s="31" t="n">
        <f aca="false">D20+(C20-D20)*N20*(1-O20)</f>
        <v>26.713033875415</v>
      </c>
      <c r="Q20" s="30" t="n">
        <f aca="false">P20/C20</f>
        <v>0.205484875964731</v>
      </c>
      <c r="R20" s="30" t="n">
        <f aca="false">(F20*(1-Abg_1)*Neig_1+G20*(1-Abg_2)*Neig_2+H20*(1-Abg_3)*Neig_3+I20*(1-Abg_4)*Neig_4+J20*(1-Abg_5)*Neig_5)/MAX(0.0001,1-N20)</f>
        <v>0.584869358669834</v>
      </c>
      <c r="S20" s="30" t="n">
        <f aca="false">(C20-D20)*((1-N20)*R20+N20*O20*Neig_Neu)*L20/C20</f>
        <v>0.426889087937132</v>
      </c>
      <c r="T20" s="30" t="n">
        <f aca="false">IF(Anlagen!W20&lt;&gt;"",Anlagen!W20,IF(Quote_Modus=2,Quote_fest,IF(Szenario=2,S20,M20)))</f>
        <v>0.440970879522818</v>
      </c>
      <c r="U20" s="23" t="str">
        <f aca="false">IF(Anlagen!W20&lt;&gt;"","manuell",IF(Quote_Modus=2,"fest",IF(Szenario=2,"Alter, in 5 J.","Alter, heute")))</f>
        <v>Alter, heute</v>
      </c>
      <c r="V20" s="31" t="n">
        <f aca="false">C20*T20</f>
        <v>57.3262143379664</v>
      </c>
    </row>
    <row r="21" customFormat="false" ht="15" hidden="false" customHeight="false" outlineLevel="0" collapsed="false">
      <c r="A21" s="23" t="n">
        <f aca="false">Anlagen!A21</f>
        <v>17</v>
      </c>
      <c r="B21" s="23" t="str">
        <f aca="false">Anlagen!B21</f>
        <v>Birkenwäldchen</v>
      </c>
      <c r="C21" s="23" t="n">
        <f aca="false">Anlagen!F21</f>
        <v>56</v>
      </c>
      <c r="D21" s="23" t="n">
        <f aca="false">Anlagen!G21</f>
        <v>3</v>
      </c>
      <c r="E21" s="30" t="n">
        <f aca="false">D21/C21</f>
        <v>0.0535714285714286</v>
      </c>
      <c r="F21" s="30" t="n">
        <f aca="false">Anlagen!I21/MAX(0.0001,SUM(Anlagen!I21:M21))</f>
        <v>0</v>
      </c>
      <c r="G21" s="30" t="n">
        <f aca="false">Anlagen!J21/MAX(0.0001,SUM(Anlagen!I21:M21))</f>
        <v>0.226110363391655</v>
      </c>
      <c r="H21" s="30" t="n">
        <f aca="false">Anlagen!K21/MAX(0.0001,SUM(Anlagen!I21:M21))</f>
        <v>0.729475100942127</v>
      </c>
      <c r="I21" s="30" t="n">
        <f aca="false">Anlagen!L21/MAX(0.0001,SUM(Anlagen!I21:M21))</f>
        <v>0.044414535666218</v>
      </c>
      <c r="J21" s="30" t="n">
        <f aca="false">Anlagen!M21/MAX(0.0001,SUM(Anlagen!I21:M21))</f>
        <v>0</v>
      </c>
      <c r="K21" s="30" t="n">
        <f aca="false">F21*Neig_1+G21*Neig_2+H21*Neig_3+I21*Neig_4+J21*Neig_5</f>
        <v>0.622812920592194</v>
      </c>
      <c r="L21" s="30" t="n">
        <f aca="false">IF(LEFT(Anlagen!D21,1)="A",Stufe_A,IF(LEFT(Anlagen!D21,1)="B",Stufe_B,IF(LEFT(Anlagen!D21,1)="C",Stufe_C,Stufe_D)))</f>
        <v>1</v>
      </c>
      <c r="M21" s="30" t="n">
        <f aca="false">K21*(1-E21)*L21</f>
        <v>0.589447942703326</v>
      </c>
      <c r="N21" s="30" t="n">
        <f aca="false">F21*Abg_1+G21*Abg_2+H21*Abg_3+I21*Abg_4+J21*Abg_5</f>
        <v>0.0975773889636609</v>
      </c>
      <c r="O21" s="30" t="n">
        <f aca="false">MAX(0,MIN(1,Nachbes-E21*Nachbes_Leer))</f>
        <v>0.592857142857143</v>
      </c>
      <c r="P21" s="31" t="n">
        <f aca="false">D21+(C21-D21)*N21*(1-O21)</f>
        <v>5.10558065756585</v>
      </c>
      <c r="Q21" s="30" t="n">
        <f aca="false">P21/C21</f>
        <v>0.0911710831708188</v>
      </c>
      <c r="R21" s="30" t="n">
        <f aca="false">(F21*(1-Abg_1)*Neig_1+G21*(1-Abg_2)*Neig_2+H21*(1-Abg_3)*Neig_3+I21*(1-Abg_4)*Neig_4+J21*(1-Abg_5)*Neig_5)/MAX(0.0001,1-N21)</f>
        <v>0.627091722595078</v>
      </c>
      <c r="S21" s="30" t="n">
        <f aca="false">(C21-D21)*((1-N21)*R21+N21*O21*Neig_Neu)*L21/C21</f>
        <v>0.576648365183893</v>
      </c>
      <c r="T21" s="30" t="n">
        <f aca="false">IF(Anlagen!W21&lt;&gt;"",Anlagen!W21,IF(Quote_Modus=2,Quote_fest,IF(Szenario=2,S21,M21)))</f>
        <v>0.589447942703326</v>
      </c>
      <c r="U21" s="23" t="str">
        <f aca="false">IF(Anlagen!W21&lt;&gt;"","manuell",IF(Quote_Modus=2,"fest",IF(Szenario=2,"Alter, in 5 J.","Alter, heute")))</f>
        <v>Alter, heute</v>
      </c>
      <c r="V21" s="31" t="n">
        <f aca="false">C21*T21</f>
        <v>33.0090847913863</v>
      </c>
    </row>
    <row r="22" customFormat="false" ht="15" hidden="false" customHeight="false" outlineLevel="0" collapsed="false">
      <c r="A22" s="23" t="n">
        <f aca="false">Anlagen!A22</f>
        <v>18</v>
      </c>
      <c r="B22" s="23" t="str">
        <f aca="false">Anlagen!B22</f>
        <v>BKV Pfefferland</v>
      </c>
      <c r="C22" s="23" t="n">
        <f aca="false">Anlagen!F22</f>
        <v>64</v>
      </c>
      <c r="D22" s="23" t="n">
        <f aca="false">Anlagen!G22</f>
        <v>0</v>
      </c>
      <c r="E22" s="30" t="n">
        <f aca="false">D22/C22</f>
        <v>0</v>
      </c>
      <c r="F22" s="30" t="n">
        <f aca="false">Anlagen!I22/MAX(0.0001,SUM(Anlagen!I22:M22))</f>
        <v>0.00342075256556442</v>
      </c>
      <c r="G22" s="30" t="n">
        <f aca="false">Anlagen!J22/MAX(0.0001,SUM(Anlagen!I22:M22))</f>
        <v>0.32497149372862</v>
      </c>
      <c r="H22" s="30" t="n">
        <f aca="false">Anlagen!K22/MAX(0.0001,SUM(Anlagen!I22:M22))</f>
        <v>0.506271379703535</v>
      </c>
      <c r="I22" s="30" t="n">
        <f aca="false">Anlagen!L22/MAX(0.0001,SUM(Anlagen!I22:M22))</f>
        <v>0.165336374002281</v>
      </c>
      <c r="J22" s="30" t="n">
        <f aca="false">Anlagen!M22/MAX(0.0001,SUM(Anlagen!I22:M22))</f>
        <v>0</v>
      </c>
      <c r="K22" s="30" t="n">
        <f aca="false">F22*Neig_1+G22*Neig_2+H22*Neig_3+I22*Neig_4+J22*Neig_5</f>
        <v>0.608095781071836</v>
      </c>
      <c r="L22" s="30" t="n">
        <f aca="false">IF(LEFT(Anlagen!D22,1)="A",Stufe_A,IF(LEFT(Anlagen!D22,1)="B",Stufe_B,IF(LEFT(Anlagen!D22,1)="C",Stufe_C,Stufe_D)))</f>
        <v>1</v>
      </c>
      <c r="M22" s="30" t="n">
        <f aca="false">K22*(1-E22)*L22</f>
        <v>0.608095781071836</v>
      </c>
      <c r="N22" s="30" t="n">
        <f aca="false">F22*Abg_1+G22*Abg_2+H22*Abg_3+I22*Abg_4+J22*Abg_5</f>
        <v>0.116647662485747</v>
      </c>
      <c r="O22" s="30" t="n">
        <f aca="false">MAX(0,MIN(1,Nachbes-E22*Nachbes_Leer))</f>
        <v>0.7</v>
      </c>
      <c r="P22" s="31" t="n">
        <f aca="false">D22+(C22-D22)*N22*(1-O22)</f>
        <v>2.23963511972634</v>
      </c>
      <c r="Q22" s="30" t="n">
        <f aca="false">P22/C22</f>
        <v>0.0349942987457241</v>
      </c>
      <c r="R22" s="30" t="n">
        <f aca="false">(F22*(1-Abg_1)*Neig_1+G22*(1-Abg_2)*Neig_2+H22*(1-Abg_3)*Neig_3+I22*(1-Abg_4)*Neig_4+J22*(1-Abg_5)*Neig_5)/MAX(0.0001,1-N22)</f>
        <v>0.620404672776559</v>
      </c>
      <c r="S22" s="30" t="n">
        <f aca="false">(C22-D22)*((1-N22)*R22+N22*O22*Neig_Neu)*L22/C22</f>
        <v>0.609275940706956</v>
      </c>
      <c r="T22" s="30" t="n">
        <f aca="false">IF(Anlagen!W22&lt;&gt;"",Anlagen!W22,IF(Quote_Modus=2,Quote_fest,IF(Szenario=2,S22,M22)))</f>
        <v>0.608095781071836</v>
      </c>
      <c r="U22" s="23" t="str">
        <f aca="false">IF(Anlagen!W22&lt;&gt;"","manuell",IF(Quote_Modus=2,"fest",IF(Szenario=2,"Alter, in 5 J.","Alter, heute")))</f>
        <v>Alter, heute</v>
      </c>
      <c r="V22" s="31" t="n">
        <f aca="false">C22*T22</f>
        <v>38.9181299885975</v>
      </c>
    </row>
    <row r="23" customFormat="false" ht="15" hidden="false" customHeight="false" outlineLevel="0" collapsed="false">
      <c r="A23" s="23" t="n">
        <f aca="false">Anlagen!A23</f>
        <v>19</v>
      </c>
      <c r="B23" s="23" t="str">
        <f aca="false">Anlagen!B23</f>
        <v>Brielower Dreieck</v>
      </c>
      <c r="C23" s="23" t="n">
        <f aca="false">Anlagen!F23</f>
        <v>35</v>
      </c>
      <c r="D23" s="23" t="n">
        <f aca="false">Anlagen!G23</f>
        <v>0</v>
      </c>
      <c r="E23" s="30" t="n">
        <f aca="false">D23/C23</f>
        <v>0</v>
      </c>
      <c r="F23" s="30" t="n">
        <f aca="false">Anlagen!I23/MAX(0.0001,SUM(Anlagen!I23:M23))</f>
        <v>0.0302325581395349</v>
      </c>
      <c r="G23" s="30" t="n">
        <f aca="false">Anlagen!J23/MAX(0.0001,SUM(Anlagen!I23:M23))</f>
        <v>0.102325581395349</v>
      </c>
      <c r="H23" s="30" t="n">
        <f aca="false">Anlagen!K23/MAX(0.0001,SUM(Anlagen!I23:M23))</f>
        <v>0.706976744186047</v>
      </c>
      <c r="I23" s="30" t="n">
        <f aca="false">Anlagen!L23/MAX(0.0001,SUM(Anlagen!I23:M23))</f>
        <v>0.16046511627907</v>
      </c>
      <c r="J23" s="30" t="n">
        <f aca="false">Anlagen!M23/MAX(0.0001,SUM(Anlagen!I23:M23))</f>
        <v>0</v>
      </c>
      <c r="K23" s="30" t="n">
        <f aca="false">F23*Neig_1+G23*Neig_2+H23*Neig_3+I23*Neig_4+J23*Neig_5</f>
        <v>0.581279069767442</v>
      </c>
      <c r="L23" s="30" t="n">
        <f aca="false">IF(LEFT(Anlagen!D23,1)="A",Stufe_A,IF(LEFT(Anlagen!D23,1)="B",Stufe_B,IF(LEFT(Anlagen!D23,1)="C",Stufe_C,Stufe_D)))</f>
        <v>1</v>
      </c>
      <c r="M23" s="30" t="n">
        <f aca="false">K23*(1-E23)*L23</f>
        <v>0.581279069767442</v>
      </c>
      <c r="N23" s="30" t="n">
        <f aca="false">F23*Abg_1+G23*Abg_2+H23*Abg_3+I23*Abg_4+J23*Abg_5</f>
        <v>0.12546511627907</v>
      </c>
      <c r="O23" s="30" t="n">
        <f aca="false">MAX(0,MIN(1,Nachbes-E23*Nachbes_Leer))</f>
        <v>0.7</v>
      </c>
      <c r="P23" s="31" t="n">
        <f aca="false">D23+(C23-D23)*N23*(1-O23)</f>
        <v>1.31738372093023</v>
      </c>
      <c r="Q23" s="30" t="n">
        <f aca="false">P23/C23</f>
        <v>0.0376395348837209</v>
      </c>
      <c r="R23" s="30" t="n">
        <f aca="false">(F23*(1-Abg_1)*Neig_1+G23*(1-Abg_2)*Neig_2+H23*(1-Abg_3)*Neig_3+I23*(1-Abg_4)*Neig_4+J23*(1-Abg_5)*Neig_5)/MAX(0.0001,1-N23)</f>
        <v>0.591131498470948</v>
      </c>
      <c r="S23" s="30" t="n">
        <f aca="false">(C23-D23)*((1-N23)*R23+N23*O23*Neig_Neu)*L23/C23</f>
        <v>0.582834302325581</v>
      </c>
      <c r="T23" s="30" t="n">
        <f aca="false">IF(Anlagen!W23&lt;&gt;"",Anlagen!W23,IF(Quote_Modus=2,Quote_fest,IF(Szenario=2,S23,M23)))</f>
        <v>0.581279069767442</v>
      </c>
      <c r="U23" s="23" t="str">
        <f aca="false">IF(Anlagen!W23&lt;&gt;"","manuell",IF(Quote_Modus=2,"fest",IF(Szenario=2,"Alter, in 5 J.","Alter, heute")))</f>
        <v>Alter, heute</v>
      </c>
      <c r="V23" s="31" t="n">
        <f aca="false">C23*T23</f>
        <v>20.3447674418605</v>
      </c>
    </row>
    <row r="24" customFormat="false" ht="15" hidden="false" customHeight="false" outlineLevel="0" collapsed="false">
      <c r="A24" s="23" t="n">
        <f aca="false">Anlagen!A24</f>
        <v>20</v>
      </c>
      <c r="B24" s="23" t="str">
        <f aca="false">Anlagen!B24</f>
        <v>Buchenweg</v>
      </c>
      <c r="C24" s="23" t="n">
        <f aca="false">Anlagen!F24</f>
        <v>86</v>
      </c>
      <c r="D24" s="23" t="n">
        <f aca="false">Anlagen!G24</f>
        <v>1</v>
      </c>
      <c r="E24" s="30" t="n">
        <f aca="false">D24/C24</f>
        <v>0.0116279069767442</v>
      </c>
      <c r="F24" s="30" t="n">
        <f aca="false">Anlagen!I24/MAX(0.0001,SUM(Anlagen!I24:M24))</f>
        <v>0.0498614958448753</v>
      </c>
      <c r="G24" s="30" t="n">
        <f aca="false">Anlagen!J24/MAX(0.0001,SUM(Anlagen!I24:M24))</f>
        <v>0.408125577100646</v>
      </c>
      <c r="H24" s="30" t="n">
        <f aca="false">Anlagen!K24/MAX(0.0001,SUM(Anlagen!I24:M24))</f>
        <v>0.35180055401662</v>
      </c>
      <c r="I24" s="30" t="n">
        <f aca="false">Anlagen!L24/MAX(0.0001,SUM(Anlagen!I24:M24))</f>
        <v>0.190212373037858</v>
      </c>
      <c r="J24" s="30" t="n">
        <f aca="false">Anlagen!M24/MAX(0.0001,SUM(Anlagen!I24:M24))</f>
        <v>0</v>
      </c>
      <c r="K24" s="30" t="n">
        <f aca="false">F24*Neig_1+G24*Neig_2+H24*Neig_3+I24*Neig_4+J24*Neig_5</f>
        <v>0.623638042474608</v>
      </c>
      <c r="L24" s="30" t="n">
        <f aca="false">IF(LEFT(Anlagen!D24,1)="A",Stufe_A,IF(LEFT(Anlagen!D24,1)="B",Stufe_B,IF(LEFT(Anlagen!D24,1)="C",Stufe_C,Stufe_D)))</f>
        <v>1</v>
      </c>
      <c r="M24" s="30" t="n">
        <f aca="false">K24*(1-E24)*L24</f>
        <v>0.616386437329554</v>
      </c>
      <c r="N24" s="30" t="n">
        <f aca="false">F24*Abg_1+G24*Abg_2+H24*Abg_3+I24*Abg_4+J24*Abg_5</f>
        <v>0.115143120960295</v>
      </c>
      <c r="O24" s="30" t="n">
        <f aca="false">MAX(0,MIN(1,Nachbes-E24*Nachbes_Leer))</f>
        <v>0.676744186046512</v>
      </c>
      <c r="P24" s="31" t="n">
        <f aca="false">D24+(C24-D24)*N24*(1-O24)</f>
        <v>4.16375807940905</v>
      </c>
      <c r="Q24" s="30" t="n">
        <f aca="false">P24/C24</f>
        <v>0.0484157916210355</v>
      </c>
      <c r="R24" s="30" t="n">
        <f aca="false">(F24*(1-Abg_1)*Neig_1+G24*(1-Abg_2)*Neig_2+H24*(1-Abg_3)*Neig_3+I24*(1-Abg_4)*Neig_4+J24*(1-Abg_5)*Neig_5)/MAX(0.0001,1-N24)</f>
        <v>0.638813523948659</v>
      </c>
      <c r="S24" s="30" t="n">
        <f aca="false">(C24-D24)*((1-N24)*R24+N24*O24*Neig_Neu)*L24/C24</f>
        <v>0.616448039468316</v>
      </c>
      <c r="T24" s="30" t="n">
        <f aca="false">IF(Anlagen!W24&lt;&gt;"",Anlagen!W24,IF(Quote_Modus=2,Quote_fest,IF(Szenario=2,S24,M24)))</f>
        <v>0.616386437329554</v>
      </c>
      <c r="U24" s="23" t="str">
        <f aca="false">IF(Anlagen!W24&lt;&gt;"","manuell",IF(Quote_Modus=2,"fest",IF(Szenario=2,"Alter, in 5 J.","Alter, heute")))</f>
        <v>Alter, heute</v>
      </c>
      <c r="V24" s="31" t="n">
        <f aca="false">C24*T24</f>
        <v>53.0092336103416</v>
      </c>
    </row>
    <row r="25" customFormat="false" ht="15" hidden="false" customHeight="false" outlineLevel="0" collapsed="false">
      <c r="A25" s="23" t="n">
        <f aca="false">Anlagen!A25</f>
        <v>21</v>
      </c>
      <c r="B25" s="23" t="str">
        <f aca="false">Anlagen!B25</f>
        <v>Butterlake</v>
      </c>
      <c r="C25" s="23" t="n">
        <f aca="false">Anlagen!F25</f>
        <v>75</v>
      </c>
      <c r="D25" s="23" t="n">
        <f aca="false">Anlagen!G25</f>
        <v>1</v>
      </c>
      <c r="E25" s="30" t="n">
        <f aca="false">D25/C25</f>
        <v>0.0133333333333333</v>
      </c>
      <c r="F25" s="30" t="n">
        <f aca="false">Anlagen!I25/MAX(0.0001,SUM(Anlagen!I25:M25))</f>
        <v>0</v>
      </c>
      <c r="G25" s="30" t="n">
        <f aca="false">Anlagen!J25/MAX(0.0001,SUM(Anlagen!I25:M25))</f>
        <v>0.333035714285714</v>
      </c>
      <c r="H25" s="30" t="n">
        <f aca="false">Anlagen!K25/MAX(0.0001,SUM(Anlagen!I25:M25))</f>
        <v>0.377678571428572</v>
      </c>
      <c r="I25" s="30" t="n">
        <f aca="false">Anlagen!L25/MAX(0.0001,SUM(Anlagen!I25:M25))</f>
        <v>0.286607142857143</v>
      </c>
      <c r="J25" s="30" t="n">
        <f aca="false">Anlagen!M25/MAX(0.0001,SUM(Anlagen!I25:M25))</f>
        <v>0.00267857142857143</v>
      </c>
      <c r="K25" s="30" t="n">
        <f aca="false">F25*Neig_1+G25*Neig_2+H25*Neig_3+I25*Neig_4+J25*Neig_5</f>
        <v>0.576964285714286</v>
      </c>
      <c r="L25" s="30" t="n">
        <f aca="false">IF(LEFT(Anlagen!D25,1)="A",Stufe_A,IF(LEFT(Anlagen!D25,1)="B",Stufe_B,IF(LEFT(Anlagen!D25,1)="C",Stufe_C,Stufe_D)))</f>
        <v>1</v>
      </c>
      <c r="M25" s="30" t="n">
        <f aca="false">K25*(1-E25)*L25</f>
        <v>0.569271428571429</v>
      </c>
      <c r="N25" s="30" t="n">
        <f aca="false">F25*Abg_1+G25*Abg_2+H25*Abg_3+I25*Abg_4+J25*Abg_5</f>
        <v>0.142008928571429</v>
      </c>
      <c r="O25" s="30" t="n">
        <f aca="false">MAX(0,MIN(1,Nachbes-E25*Nachbes_Leer))</f>
        <v>0.673333333333333</v>
      </c>
      <c r="P25" s="31" t="n">
        <f aca="false">D25+(C25-D25)*N25*(1-O25)</f>
        <v>4.43282916666667</v>
      </c>
      <c r="Q25" s="30" t="n">
        <f aca="false">P25/C25</f>
        <v>0.0591043888888889</v>
      </c>
      <c r="R25" s="30" t="n">
        <f aca="false">(F25*(1-Abg_1)*Neig_1+G25*(1-Abg_2)*Neig_2+H25*(1-Abg_3)*Neig_3+I25*(1-Abg_4)*Neig_4+J25*(1-Abg_5)*Neig_5)/MAX(0.0001,1-N25)</f>
        <v>0.596230292939279</v>
      </c>
      <c r="S25" s="30" t="n">
        <f aca="false">(C25-D25)*((1-N25)*R25+N25*O25*Neig_Neu)*L25/C25</f>
        <v>0.575497779761905</v>
      </c>
      <c r="T25" s="30" t="n">
        <f aca="false">IF(Anlagen!W25&lt;&gt;"",Anlagen!W25,IF(Quote_Modus=2,Quote_fest,IF(Szenario=2,S25,M25)))</f>
        <v>0.569271428571429</v>
      </c>
      <c r="U25" s="23" t="str">
        <f aca="false">IF(Anlagen!W25&lt;&gt;"","manuell",IF(Quote_Modus=2,"fest",IF(Szenario=2,"Alter, in 5 J.","Alter, heute")))</f>
        <v>Alter, heute</v>
      </c>
      <c r="V25" s="31" t="n">
        <f aca="false">C25*T25</f>
        <v>42.6953571428572</v>
      </c>
    </row>
    <row r="26" customFormat="false" ht="15" hidden="false" customHeight="false" outlineLevel="0" collapsed="false">
      <c r="A26" s="23" t="n">
        <f aca="false">Anlagen!A26</f>
        <v>22</v>
      </c>
      <c r="B26" s="23" t="str">
        <f aca="false">Anlagen!B26</f>
        <v>Eichhorstweg</v>
      </c>
      <c r="C26" s="23" t="n">
        <f aca="false">Anlagen!F26</f>
        <v>38</v>
      </c>
      <c r="D26" s="23" t="n">
        <f aca="false">Anlagen!G26</f>
        <v>1</v>
      </c>
      <c r="E26" s="30" t="n">
        <f aca="false">D26/C26</f>
        <v>0.0263157894736842</v>
      </c>
      <c r="F26" s="30" t="n">
        <f aca="false">Anlagen!I26/MAX(0.0001,SUM(Anlagen!I26:M26))</f>
        <v>0.0246913580246914</v>
      </c>
      <c r="G26" s="30" t="n">
        <f aca="false">Anlagen!J26/MAX(0.0001,SUM(Anlagen!I26:M26))</f>
        <v>0.286008230452675</v>
      </c>
      <c r="H26" s="30" t="n">
        <f aca="false">Anlagen!K26/MAX(0.0001,SUM(Anlagen!I26:M26))</f>
        <v>0.450617283950617</v>
      </c>
      <c r="I26" s="30" t="n">
        <f aca="false">Anlagen!L26/MAX(0.0001,SUM(Anlagen!I26:M26))</f>
        <v>0.238683127572016</v>
      </c>
      <c r="J26" s="30" t="n">
        <f aca="false">Anlagen!M26/MAX(0.0001,SUM(Anlagen!I26:M26))</f>
        <v>0</v>
      </c>
      <c r="K26" s="30" t="n">
        <f aca="false">F26*Neig_1+G26*Neig_2+H26*Neig_3+I26*Neig_4+J26*Neig_5</f>
        <v>0.588168724279835</v>
      </c>
      <c r="L26" s="30" t="n">
        <f aca="false">IF(LEFT(Anlagen!D26,1)="A",Stufe_A,IF(LEFT(Anlagen!D26,1)="B",Stufe_B,IF(LEFT(Anlagen!D26,1)="C",Stufe_C,Stufe_D)))</f>
        <v>1</v>
      </c>
      <c r="M26" s="30" t="n">
        <f aca="false">K26*(1-E26)*L26</f>
        <v>0.572690599956682</v>
      </c>
      <c r="N26" s="30" t="n">
        <f aca="false">F26*Abg_1+G26*Abg_2+H26*Abg_3+I26*Abg_4+J26*Abg_5</f>
        <v>0.132201646090535</v>
      </c>
      <c r="O26" s="30" t="n">
        <f aca="false">MAX(0,MIN(1,Nachbes-E26*Nachbes_Leer))</f>
        <v>0.647368421052632</v>
      </c>
      <c r="P26" s="31" t="n">
        <f aca="false">D26+(C26-D26)*N26*(1-O26)</f>
        <v>2.72488358241282</v>
      </c>
      <c r="Q26" s="30" t="n">
        <f aca="false">P26/C26</f>
        <v>0.0717074626950743</v>
      </c>
      <c r="R26" s="30" t="n">
        <f aca="false">(F26*(1-Abg_1)*Neig_1+G26*(1-Abg_2)*Neig_2+H26*(1-Abg_3)*Neig_3+I26*(1-Abg_4)*Neig_4+J26*(1-Abg_5)*Neig_5)/MAX(0.0001,1-N26)</f>
        <v>0.604238292827504</v>
      </c>
      <c r="S26" s="30" t="n">
        <f aca="false">(C26-D26)*((1-N26)*R26+N26*O26*Neig_Neu)*L26/C26</f>
        <v>0.57305636420893</v>
      </c>
      <c r="T26" s="30" t="n">
        <f aca="false">IF(Anlagen!W26&lt;&gt;"",Anlagen!W26,IF(Quote_Modus=2,Quote_fest,IF(Szenario=2,S26,M26)))</f>
        <v>0.572690599956682</v>
      </c>
      <c r="U26" s="23" t="str">
        <f aca="false">IF(Anlagen!W26&lt;&gt;"","manuell",IF(Quote_Modus=2,"fest",IF(Szenario=2,"Alter, in 5 J.","Alter, heute")))</f>
        <v>Alter, heute</v>
      </c>
      <c r="V26" s="31" t="n">
        <f aca="false">C26*T26</f>
        <v>21.7622427983539</v>
      </c>
    </row>
    <row r="27" customFormat="false" ht="15" hidden="false" customHeight="false" outlineLevel="0" collapsed="false">
      <c r="A27" s="23" t="n">
        <f aca="false">Anlagen!A27</f>
        <v>23</v>
      </c>
      <c r="B27" s="23" t="str">
        <f aca="false">Anlagen!B27</f>
        <v>Eigener Fleiß</v>
      </c>
      <c r="C27" s="23" t="n">
        <f aca="false">Anlagen!F27</f>
        <v>123</v>
      </c>
      <c r="D27" s="23" t="n">
        <f aca="false">Anlagen!G27</f>
        <v>0</v>
      </c>
      <c r="E27" s="30" t="n">
        <f aca="false">D27/C27</f>
        <v>0</v>
      </c>
      <c r="F27" s="30" t="n">
        <f aca="false">Anlagen!I27/MAX(0.0001,SUM(Anlagen!I27:M27))</f>
        <v>0.0334429824561403</v>
      </c>
      <c r="G27" s="30" t="n">
        <f aca="false">Anlagen!J27/MAX(0.0001,SUM(Anlagen!I27:M27))</f>
        <v>0.245065789473684</v>
      </c>
      <c r="H27" s="30" t="n">
        <f aca="false">Anlagen!K27/MAX(0.0001,SUM(Anlagen!I27:M27))</f>
        <v>0.449013157894737</v>
      </c>
      <c r="I27" s="30" t="n">
        <f aca="false">Anlagen!L27/MAX(0.0001,SUM(Anlagen!I27:M27))</f>
        <v>0.272478070175439</v>
      </c>
      <c r="J27" s="30" t="n">
        <f aca="false">Anlagen!M27/MAX(0.0001,SUM(Anlagen!I27:M27))</f>
        <v>0</v>
      </c>
      <c r="K27" s="30" t="n">
        <f aca="false">F27*Neig_1+G27*Neig_2+H27*Neig_3+I27*Neig_4+J27*Neig_5</f>
        <v>0.575328947368421</v>
      </c>
      <c r="L27" s="30" t="n">
        <f aca="false">IF(LEFT(Anlagen!D27,1)="A",Stufe_A,IF(LEFT(Anlagen!D27,1)="B",Stufe_B,IF(LEFT(Anlagen!D27,1)="C",Stufe_C,Stufe_D)))</f>
        <v>1</v>
      </c>
      <c r="M27" s="30" t="n">
        <f aca="false">K27*(1-E27)*L27</f>
        <v>0.575328947368421</v>
      </c>
      <c r="N27" s="30" t="n">
        <f aca="false">F27*Abg_1+G27*Abg_2+H27*Abg_3+I27*Abg_4+J27*Abg_5</f>
        <v>0.140570175438596</v>
      </c>
      <c r="O27" s="30" t="n">
        <f aca="false">MAX(0,MIN(1,Nachbes-E27*Nachbes_Leer))</f>
        <v>0.7</v>
      </c>
      <c r="P27" s="31" t="n">
        <f aca="false">D27+(C27-D27)*N27*(1-O27)</f>
        <v>5.18703947368421</v>
      </c>
      <c r="Q27" s="30" t="n">
        <f aca="false">P27/C27</f>
        <v>0.0421710526315789</v>
      </c>
      <c r="R27" s="30" t="n">
        <f aca="false">(F27*(1-Abg_1)*Neig_1+G27*(1-Abg_2)*Neig_2+H27*(1-Abg_3)*Neig_3+I27*(1-Abg_4)*Neig_4+J27*(1-Abg_5)*Neig_5)/MAX(0.0001,1-N27)</f>
        <v>0.592544335289615</v>
      </c>
      <c r="S27" s="30" t="n">
        <f aca="false">(C27-D27)*((1-N27)*R27+N27*O27*Neig_Neu)*L27/C27</f>
        <v>0.58304961622807</v>
      </c>
      <c r="T27" s="30" t="n">
        <f aca="false">IF(Anlagen!W27&lt;&gt;"",Anlagen!W27,IF(Quote_Modus=2,Quote_fest,IF(Szenario=2,S27,M27)))</f>
        <v>0.575328947368421</v>
      </c>
      <c r="U27" s="23" t="str">
        <f aca="false">IF(Anlagen!W27&lt;&gt;"","manuell",IF(Quote_Modus=2,"fest",IF(Szenario=2,"Alter, in 5 J.","Alter, heute")))</f>
        <v>Alter, heute</v>
      </c>
      <c r="V27" s="31" t="n">
        <f aca="false">C27*T27</f>
        <v>70.7654605263158</v>
      </c>
    </row>
    <row r="28" customFormat="false" ht="15" hidden="false" customHeight="false" outlineLevel="0" collapsed="false">
      <c r="A28" s="23" t="n">
        <f aca="false">Anlagen!A28</f>
        <v>24</v>
      </c>
      <c r="B28" s="23" t="str">
        <f aca="false">Anlagen!B28</f>
        <v>Einheit</v>
      </c>
      <c r="C28" s="23" t="n">
        <f aca="false">Anlagen!F28</f>
        <v>99</v>
      </c>
      <c r="D28" s="23" t="n">
        <f aca="false">Anlagen!G28</f>
        <v>1</v>
      </c>
      <c r="E28" s="30" t="n">
        <f aca="false">D28/C28</f>
        <v>0.0101010101010101</v>
      </c>
      <c r="F28" s="30" t="n">
        <f aca="false">Anlagen!I28/MAX(0.0001,SUM(Anlagen!I28:M28))</f>
        <v>0.0397022332506204</v>
      </c>
      <c r="G28" s="30" t="n">
        <f aca="false">Anlagen!J28/MAX(0.0001,SUM(Anlagen!I28:M28))</f>
        <v>0.378825475599669</v>
      </c>
      <c r="H28" s="30" t="n">
        <f aca="false">Anlagen!K28/MAX(0.0001,SUM(Anlagen!I28:M28))</f>
        <v>0.406947890818859</v>
      </c>
      <c r="I28" s="30" t="n">
        <f aca="false">Anlagen!L28/MAX(0.0001,SUM(Anlagen!I28:M28))</f>
        <v>0.174524400330852</v>
      </c>
      <c r="J28" s="30" t="n">
        <f aca="false">Anlagen!M28/MAX(0.0001,SUM(Anlagen!I28:M28))</f>
        <v>0</v>
      </c>
      <c r="K28" s="30" t="n">
        <f aca="false">F28*Neig_1+G28*Neig_2+H28*Neig_3+I28*Neig_4+J28*Neig_5</f>
        <v>0.621133167907361</v>
      </c>
      <c r="L28" s="30" t="n">
        <f aca="false">IF(LEFT(Anlagen!D28,1)="A",Stufe_A,IF(LEFT(Anlagen!D28,1)="B",Stufe_B,IF(LEFT(Anlagen!D28,1)="C",Stufe_C,Stufe_D)))</f>
        <v>1</v>
      </c>
      <c r="M28" s="30" t="n">
        <f aca="false">K28*(1-E28)*L28</f>
        <v>0.614859095504257</v>
      </c>
      <c r="N28" s="30" t="n">
        <f aca="false">F28*Abg_1+G28*Abg_2+H28*Abg_3+I28*Abg_4+J28*Abg_5</f>
        <v>0.113978494623656</v>
      </c>
      <c r="O28" s="30" t="n">
        <f aca="false">MAX(0,MIN(1,Nachbes-E28*Nachbes_Leer))</f>
        <v>0.67979797979798</v>
      </c>
      <c r="P28" s="31" t="n">
        <f aca="false">D28+(C28-D28)*N28*(1-O28)</f>
        <v>4.57662213533181</v>
      </c>
      <c r="Q28" s="30" t="n">
        <f aca="false">P28/C28</f>
        <v>0.0462285064174931</v>
      </c>
      <c r="R28" s="30" t="n">
        <f aca="false">(F28*(1-Abg_1)*Neig_1+G28*(1-Abg_2)*Neig_2+H28*(1-Abg_3)*Neig_3+I28*(1-Abg_4)*Neig_4+J28*(1-Abg_5)*Neig_5)/MAX(0.0001,1-N28)</f>
        <v>0.634970126960418</v>
      </c>
      <c r="S28" s="30" t="n">
        <f aca="false">(C28-D28)*((1-N28)*R28+N28*O28*Neig_Neu)*L28/C28</f>
        <v>0.614439163168391</v>
      </c>
      <c r="T28" s="30" t="n">
        <f aca="false">IF(Anlagen!W28&lt;&gt;"",Anlagen!W28,IF(Quote_Modus=2,Quote_fest,IF(Szenario=2,S28,M28)))</f>
        <v>0.614859095504257</v>
      </c>
      <c r="U28" s="23" t="str">
        <f aca="false">IF(Anlagen!W28&lt;&gt;"","manuell",IF(Quote_Modus=2,"fest",IF(Szenario=2,"Alter, in 5 J.","Alter, heute")))</f>
        <v>Alter, heute</v>
      </c>
      <c r="V28" s="31" t="n">
        <f aca="false">C28*T28</f>
        <v>60.8710504549214</v>
      </c>
    </row>
    <row r="29" customFormat="false" ht="15" hidden="false" customHeight="false" outlineLevel="0" collapsed="false">
      <c r="A29" s="23" t="n">
        <f aca="false">Anlagen!A29</f>
        <v>25</v>
      </c>
      <c r="B29" s="23" t="str">
        <f aca="false">Anlagen!B29</f>
        <v>Einigkeit</v>
      </c>
      <c r="C29" s="23" t="n">
        <f aca="false">Anlagen!F29</f>
        <v>14</v>
      </c>
      <c r="D29" s="23" t="n">
        <f aca="false">Anlagen!G29</f>
        <v>0</v>
      </c>
      <c r="E29" s="30" t="n">
        <f aca="false">D29/C29</f>
        <v>0</v>
      </c>
      <c r="F29" s="30" t="n">
        <f aca="false">Anlagen!I29/MAX(0.0001,SUM(Anlagen!I29:M29))</f>
        <v>0.0364963503649635</v>
      </c>
      <c r="G29" s="30" t="n">
        <f aca="false">Anlagen!J29/MAX(0.0001,SUM(Anlagen!I29:M29))</f>
        <v>0.233576642335766</v>
      </c>
      <c r="H29" s="30" t="n">
        <f aca="false">Anlagen!K29/MAX(0.0001,SUM(Anlagen!I29:M29))</f>
        <v>0.642335766423358</v>
      </c>
      <c r="I29" s="30" t="n">
        <f aca="false">Anlagen!L29/MAX(0.0001,SUM(Anlagen!I29:M29))</f>
        <v>0.0875912408759124</v>
      </c>
      <c r="J29" s="30" t="n">
        <f aca="false">Anlagen!M29/MAX(0.0001,SUM(Anlagen!I29:M29))</f>
        <v>0</v>
      </c>
      <c r="K29" s="30" t="n">
        <f aca="false">F29*Neig_1+G29*Neig_2+H29*Neig_3+I29*Neig_4+J29*Neig_5</f>
        <v>0.62043795620438</v>
      </c>
      <c r="L29" s="30" t="n">
        <f aca="false">IF(LEFT(Anlagen!D29,1)="A",Stufe_A,IF(LEFT(Anlagen!D29,1)="B",Stufe_B,IF(LEFT(Anlagen!D29,1)="C",Stufe_C,Stufe_D)))</f>
        <v>1</v>
      </c>
      <c r="M29" s="30" t="n">
        <f aca="false">K29*(1-E29)*L29</f>
        <v>0.62043795620438</v>
      </c>
      <c r="N29" s="30" t="n">
        <f aca="false">F29*Abg_1+G29*Abg_2+H29*Abg_3+I29*Abg_4+J29*Abg_5</f>
        <v>0.104014598540146</v>
      </c>
      <c r="O29" s="30" t="n">
        <f aca="false">MAX(0,MIN(1,Nachbes-E29*Nachbes_Leer))</f>
        <v>0.7</v>
      </c>
      <c r="P29" s="31" t="n">
        <f aca="false">D29+(C29-D29)*N29*(1-O29)</f>
        <v>0.436861313868613</v>
      </c>
      <c r="Q29" s="30" t="n">
        <f aca="false">P29/C29</f>
        <v>0.0312043795620438</v>
      </c>
      <c r="R29" s="30" t="n">
        <f aca="false">(F29*(1-Abg_1)*Neig_1+G29*(1-Abg_2)*Neig_2+H29*(1-Abg_3)*Neig_3+I29*(1-Abg_4)*Neig_4+J29*(1-Abg_5)*Neig_5)/MAX(0.0001,1-N29)</f>
        <v>0.627780040733198</v>
      </c>
      <c r="S29" s="30" t="n">
        <f aca="false">(C29-D29)*((1-N29)*R29+N29*O29*Neig_Neu)*L29/C29</f>
        <v>0.617089416058394</v>
      </c>
      <c r="T29" s="30" t="n">
        <f aca="false">IF(Anlagen!W29&lt;&gt;"",Anlagen!W29,IF(Quote_Modus=2,Quote_fest,IF(Szenario=2,S29,M29)))</f>
        <v>0.62043795620438</v>
      </c>
      <c r="U29" s="23" t="str">
        <f aca="false">IF(Anlagen!W29&lt;&gt;"","manuell",IF(Quote_Modus=2,"fest",IF(Szenario=2,"Alter, in 5 J.","Alter, heute")))</f>
        <v>Alter, heute</v>
      </c>
      <c r="V29" s="31" t="n">
        <f aca="false">C29*T29</f>
        <v>8.68613138686132</v>
      </c>
    </row>
    <row r="30" customFormat="false" ht="15" hidden="false" customHeight="false" outlineLevel="0" collapsed="false">
      <c r="A30" s="23" t="n">
        <f aca="false">Anlagen!A30</f>
        <v>26</v>
      </c>
      <c r="B30" s="23" t="str">
        <f aca="false">Anlagen!B30</f>
        <v>Eintracht I</v>
      </c>
      <c r="C30" s="23" t="n">
        <f aca="false">Anlagen!F30</f>
        <v>32</v>
      </c>
      <c r="D30" s="23" t="n">
        <f aca="false">Anlagen!G30</f>
        <v>1</v>
      </c>
      <c r="E30" s="30" t="n">
        <f aca="false">D30/C30</f>
        <v>0.03125</v>
      </c>
      <c r="F30" s="30" t="n">
        <f aca="false">Anlagen!I30/MAX(0.0001,SUM(Anlagen!I30:M30))</f>
        <v>0.0065359477124183</v>
      </c>
      <c r="G30" s="30" t="n">
        <f aca="false">Anlagen!J30/MAX(0.0001,SUM(Anlagen!I30:M30))</f>
        <v>0.258169934640523</v>
      </c>
      <c r="H30" s="30" t="n">
        <f aca="false">Anlagen!K30/MAX(0.0001,SUM(Anlagen!I30:M30))</f>
        <v>0.598039215686275</v>
      </c>
      <c r="I30" s="30" t="n">
        <f aca="false">Anlagen!L30/MAX(0.0001,SUM(Anlagen!I30:M30))</f>
        <v>0.137254901960784</v>
      </c>
      <c r="J30" s="30" t="n">
        <f aca="false">Anlagen!M30/MAX(0.0001,SUM(Anlagen!I30:M30))</f>
        <v>0</v>
      </c>
      <c r="K30" s="30" t="n">
        <f aca="false">F30*Neig_1+G30*Neig_2+H30*Neig_3+I30*Neig_4+J30*Neig_5</f>
        <v>0.605718954248366</v>
      </c>
      <c r="L30" s="30" t="n">
        <f aca="false">IF(LEFT(Anlagen!D30,1)="A",Stufe_A,IF(LEFT(Anlagen!D30,1)="B",Stufe_B,IF(LEFT(Anlagen!D30,1)="C",Stufe_C,Stufe_D)))</f>
        <v>1</v>
      </c>
      <c r="M30" s="30" t="n">
        <f aca="false">K30*(1-E30)*L30</f>
        <v>0.586790236928105</v>
      </c>
      <c r="N30" s="30" t="n">
        <f aca="false">F30*Abg_1+G30*Abg_2+H30*Abg_3+I30*Abg_4+J30*Abg_5</f>
        <v>0.11421568627451</v>
      </c>
      <c r="O30" s="30" t="n">
        <f aca="false">MAX(0,MIN(1,Nachbes-E30*Nachbes_Leer))</f>
        <v>0.6375</v>
      </c>
      <c r="P30" s="31" t="n">
        <f aca="false">D30+(C30-D30)*N30*(1-O30)</f>
        <v>2.2834987745098</v>
      </c>
      <c r="Q30" s="30" t="n">
        <f aca="false">P30/C30</f>
        <v>0.0713593367034314</v>
      </c>
      <c r="R30" s="30" t="n">
        <f aca="false">(F30*(1-Abg_1)*Neig_1+G30*(1-Abg_2)*Neig_2+H30*(1-Abg_3)*Neig_3+I30*(1-Abg_4)*Neig_4+J30*(1-Abg_5)*Neig_5)/MAX(0.0001,1-N30)</f>
        <v>0.615818114738978</v>
      </c>
      <c r="S30" s="30" t="n">
        <f aca="false">(C30-D30)*((1-N30)*R30+N30*O30*Neig_Neu)*L30/C30</f>
        <v>0.581338544858048</v>
      </c>
      <c r="T30" s="30" t="n">
        <f aca="false">IF(Anlagen!W30&lt;&gt;"",Anlagen!W30,IF(Quote_Modus=2,Quote_fest,IF(Szenario=2,S30,M30)))</f>
        <v>0.586790236928105</v>
      </c>
      <c r="U30" s="23" t="str">
        <f aca="false">IF(Anlagen!W30&lt;&gt;"","manuell",IF(Quote_Modus=2,"fest",IF(Szenario=2,"Alter, in 5 J.","Alter, heute")))</f>
        <v>Alter, heute</v>
      </c>
      <c r="V30" s="31" t="n">
        <f aca="false">C30*T30</f>
        <v>18.7772875816993</v>
      </c>
    </row>
    <row r="31" customFormat="false" ht="15" hidden="false" customHeight="false" outlineLevel="0" collapsed="false">
      <c r="A31" s="23" t="n">
        <f aca="false">Anlagen!A31</f>
        <v>27</v>
      </c>
      <c r="B31" s="23" t="str">
        <f aca="false">Anlagen!B31</f>
        <v>Eintracht II</v>
      </c>
      <c r="C31" s="23" t="n">
        <f aca="false">Anlagen!F31</f>
        <v>42</v>
      </c>
      <c r="D31" s="23" t="n">
        <f aca="false">Anlagen!G31</f>
        <v>2</v>
      </c>
      <c r="E31" s="30" t="n">
        <f aca="false">D31/C31</f>
        <v>0.0476190476190476</v>
      </c>
      <c r="F31" s="30" t="n">
        <f aca="false">Anlagen!I31/MAX(0.0001,SUM(Anlagen!I31:M31))</f>
        <v>0</v>
      </c>
      <c r="G31" s="30" t="n">
        <f aca="false">Anlagen!J31/MAX(0.0001,SUM(Anlagen!I31:M31))</f>
        <v>0.404040404040404</v>
      </c>
      <c r="H31" s="30" t="n">
        <f aca="false">Anlagen!K31/MAX(0.0001,SUM(Anlagen!I31:M31))</f>
        <v>0.449494949494949</v>
      </c>
      <c r="I31" s="30" t="n">
        <f aca="false">Anlagen!L31/MAX(0.0001,SUM(Anlagen!I31:M31))</f>
        <v>0.146464646464646</v>
      </c>
      <c r="J31" s="30" t="n">
        <f aca="false">Anlagen!M31/MAX(0.0001,SUM(Anlagen!I31:M31))</f>
        <v>0</v>
      </c>
      <c r="K31" s="30" t="n">
        <f aca="false">F31*Neig_1+G31*Neig_2+H31*Neig_3+I31*Neig_4+J31*Neig_5</f>
        <v>0.623989898989899</v>
      </c>
      <c r="L31" s="30" t="n">
        <f aca="false">IF(LEFT(Anlagen!D31,1)="A",Stufe_A,IF(LEFT(Anlagen!D31,1)="B",Stufe_B,IF(LEFT(Anlagen!D31,1)="C",Stufe_C,Stufe_D)))</f>
        <v>1</v>
      </c>
      <c r="M31" s="30" t="n">
        <f aca="false">K31*(1-E31)*L31</f>
        <v>0.594276094276094</v>
      </c>
      <c r="N31" s="30" t="n">
        <f aca="false">F31*Abg_1+G31*Abg_2+H31*Abg_3+I31*Abg_4+J31*Abg_5</f>
        <v>0.109090909090909</v>
      </c>
      <c r="O31" s="30" t="n">
        <f aca="false">MAX(0,MIN(1,Nachbes-E31*Nachbes_Leer))</f>
        <v>0.604761904761905</v>
      </c>
      <c r="P31" s="31" t="n">
        <f aca="false">D31+(C31-D31)*N31*(1-O31)</f>
        <v>3.72467532467533</v>
      </c>
      <c r="Q31" s="30" t="n">
        <f aca="false">P31/C31</f>
        <v>0.088682745825603</v>
      </c>
      <c r="R31" s="30" t="n">
        <f aca="false">(F31*(1-Abg_1)*Neig_1+G31*(1-Abg_2)*Neig_2+H31*(1-Abg_3)*Neig_3+I31*(1-Abg_4)*Neig_4+J31*(1-Abg_5)*Neig_5)/MAX(0.0001,1-N31)</f>
        <v>0.635856009070295</v>
      </c>
      <c r="S31" s="30" t="n">
        <f aca="false">(C31-D31)*((1-N31)*R31+N31*O31*Neig_Neu)*L31/C31</f>
        <v>0.586638493781351</v>
      </c>
      <c r="T31" s="30" t="n">
        <f aca="false">IF(Anlagen!W31&lt;&gt;"",Anlagen!W31,IF(Quote_Modus=2,Quote_fest,IF(Szenario=2,S31,M31)))</f>
        <v>0.594276094276094</v>
      </c>
      <c r="U31" s="23" t="str">
        <f aca="false">IF(Anlagen!W31&lt;&gt;"","manuell",IF(Quote_Modus=2,"fest",IF(Szenario=2,"Alter, in 5 J.","Alter, heute")))</f>
        <v>Alter, heute</v>
      </c>
      <c r="V31" s="31" t="n">
        <f aca="false">C31*T31</f>
        <v>24.959595959596</v>
      </c>
    </row>
    <row r="32" customFormat="false" ht="15" hidden="false" customHeight="false" outlineLevel="0" collapsed="false">
      <c r="A32" s="23" t="n">
        <f aca="false">Anlagen!A32</f>
        <v>28</v>
      </c>
      <c r="B32" s="23" t="str">
        <f aca="false">Anlagen!B32</f>
        <v>Erdenglück</v>
      </c>
      <c r="C32" s="23" t="n">
        <f aca="false">Anlagen!F32</f>
        <v>99</v>
      </c>
      <c r="D32" s="23" t="n">
        <f aca="false">Anlagen!G32</f>
        <v>2</v>
      </c>
      <c r="E32" s="30" t="n">
        <f aca="false">D32/C32</f>
        <v>0.0202020202020202</v>
      </c>
      <c r="F32" s="30" t="n">
        <f aca="false">Anlagen!I32/MAX(0.0001,SUM(Anlagen!I32:M32))</f>
        <v>0.00619674670797831</v>
      </c>
      <c r="G32" s="30" t="n">
        <f aca="false">Anlagen!J32/MAX(0.0001,SUM(Anlagen!I32:M32))</f>
        <v>0.309062742060418</v>
      </c>
      <c r="H32" s="30" t="n">
        <f aca="false">Anlagen!K32/MAX(0.0001,SUM(Anlagen!I32:M32))</f>
        <v>0.35708752904725</v>
      </c>
      <c r="I32" s="30" t="n">
        <f aca="false">Anlagen!L32/MAX(0.0001,SUM(Anlagen!I32:M32))</f>
        <v>0.327652982184353</v>
      </c>
      <c r="J32" s="30" t="n">
        <f aca="false">Anlagen!M32/MAX(0.0001,SUM(Anlagen!I32:M32))</f>
        <v>0</v>
      </c>
      <c r="K32" s="30" t="n">
        <f aca="false">F32*Neig_1+G32*Neig_2+H32*Neig_3+I32*Neig_4+J32*Neig_5</f>
        <v>0.56568551510457</v>
      </c>
      <c r="L32" s="30" t="n">
        <f aca="false">IF(LEFT(Anlagen!D32,1)="A",Stufe_A,IF(LEFT(Anlagen!D32,1)="B",Stufe_B,IF(LEFT(Anlagen!D32,1)="C",Stufe_C,Stufe_D)))</f>
        <v>1</v>
      </c>
      <c r="M32" s="30" t="n">
        <f aca="false">K32*(1-E32)*L32</f>
        <v>0.554257524900437</v>
      </c>
      <c r="N32" s="30" t="n">
        <f aca="false">F32*Abg_1+G32*Abg_2+H32*Abg_3+I32*Abg_4+J32*Abg_5</f>
        <v>0.149767621998451</v>
      </c>
      <c r="O32" s="30" t="n">
        <f aca="false">MAX(0,MIN(1,Nachbes-E32*Nachbes_Leer))</f>
        <v>0.65959595959596</v>
      </c>
      <c r="P32" s="31" t="n">
        <f aca="false">D32+(C32-D32)*N32*(1-O32)</f>
        <v>6.94520585404784</v>
      </c>
      <c r="Q32" s="30" t="n">
        <f aca="false">P32/C32</f>
        <v>0.0701535944853317</v>
      </c>
      <c r="R32" s="30" t="n">
        <f aca="false">(F32*(1-Abg_1)*Neig_1+G32*(1-Abg_2)*Neig_2+H32*(1-Abg_3)*Neig_3+I32*(1-Abg_4)*Neig_4+J32*(1-Abg_5)*Neig_5)/MAX(0.0001,1-N32)</f>
        <v>0.58574454516467</v>
      </c>
      <c r="S32" s="30" t="n">
        <f aca="false">(C32-D32)*((1-N32)*R32+N32*O32*Neig_Neu)*L32/C32</f>
        <v>0.560550817484044</v>
      </c>
      <c r="T32" s="30" t="n">
        <f aca="false">IF(Anlagen!W32&lt;&gt;"",Anlagen!W32,IF(Quote_Modus=2,Quote_fest,IF(Szenario=2,S32,M32)))</f>
        <v>0.554257524900437</v>
      </c>
      <c r="U32" s="23" t="str">
        <f aca="false">IF(Anlagen!W32&lt;&gt;"","manuell",IF(Quote_Modus=2,"fest",IF(Szenario=2,"Alter, in 5 J.","Alter, heute")))</f>
        <v>Alter, heute</v>
      </c>
      <c r="V32" s="31" t="n">
        <f aca="false">C32*T32</f>
        <v>54.8714949651433</v>
      </c>
    </row>
    <row r="33" customFormat="false" ht="15" hidden="false" customHeight="false" outlineLevel="0" collapsed="false">
      <c r="A33" s="23" t="n">
        <f aca="false">Anlagen!A33</f>
        <v>29</v>
      </c>
      <c r="B33" s="23" t="str">
        <f aca="false">Anlagen!B33</f>
        <v>Erntesegen</v>
      </c>
      <c r="C33" s="23" t="n">
        <f aca="false">Anlagen!F33</f>
        <v>92</v>
      </c>
      <c r="D33" s="23" t="n">
        <f aca="false">Anlagen!G33</f>
        <v>1</v>
      </c>
      <c r="E33" s="30" t="n">
        <f aca="false">D33/C33</f>
        <v>0.0108695652173913</v>
      </c>
      <c r="F33" s="30" t="n">
        <f aca="false">Anlagen!I33/MAX(0.0001,SUM(Anlagen!I33:M33))</f>
        <v>0.0398550724637681</v>
      </c>
      <c r="G33" s="30" t="n">
        <f aca="false">Anlagen!J33/MAX(0.0001,SUM(Anlagen!I33:M33))</f>
        <v>0.394927536231884</v>
      </c>
      <c r="H33" s="30" t="n">
        <f aca="false">Anlagen!K33/MAX(0.0001,SUM(Anlagen!I33:M33))</f>
        <v>0.382246376811594</v>
      </c>
      <c r="I33" s="30" t="n">
        <f aca="false">Anlagen!L33/MAX(0.0001,SUM(Anlagen!I33:M33))</f>
        <v>0.179347826086957</v>
      </c>
      <c r="J33" s="30" t="n">
        <f aca="false">Anlagen!M33/MAX(0.0001,SUM(Anlagen!I33:M33))</f>
        <v>0.0036231884057971</v>
      </c>
      <c r="K33" s="30" t="n">
        <f aca="false">F33*Neig_1+G33*Neig_2+H33*Neig_3+I33*Neig_4+J33*Neig_5</f>
        <v>0.620561594202899</v>
      </c>
      <c r="L33" s="30" t="n">
        <f aca="false">IF(LEFT(Anlagen!D33,1)="A",Stufe_A,IF(LEFT(Anlagen!D33,1)="B",Stufe_B,IF(LEFT(Anlagen!D33,1)="C",Stufe_C,Stufe_D)))</f>
        <v>1</v>
      </c>
      <c r="M33" s="30" t="n">
        <f aca="false">K33*(1-E33)*L33</f>
        <v>0.613816359483302</v>
      </c>
      <c r="N33" s="30" t="n">
        <f aca="false">F33*Abg_1+G33*Abg_2+H33*Abg_3+I33*Abg_4+J33*Abg_5</f>
        <v>0.115942028985507</v>
      </c>
      <c r="O33" s="30" t="n">
        <f aca="false">MAX(0,MIN(1,Nachbes-E33*Nachbes_Leer))</f>
        <v>0.678260869565217</v>
      </c>
      <c r="P33" s="31" t="n">
        <f aca="false">D33+(C33-D33)*N33*(1-O33)</f>
        <v>4.39458097038437</v>
      </c>
      <c r="Q33" s="30" t="n">
        <f aca="false">P33/C33</f>
        <v>0.0477671844606997</v>
      </c>
      <c r="R33" s="30" t="n">
        <f aca="false">(F33*(1-Abg_1)*Neig_1+G33*(1-Abg_2)*Neig_2+H33*(1-Abg_3)*Neig_3+I33*(1-Abg_4)*Neig_4+J33*(1-Abg_5)*Neig_5)/MAX(0.0001,1-N33)</f>
        <v>0.635901639344262</v>
      </c>
      <c r="S33" s="30" t="n">
        <f aca="false">(C33-D33)*((1-N33)*R33+N33*O33*Neig_Neu)*L33/C33</f>
        <v>0.614401454754664</v>
      </c>
      <c r="T33" s="30" t="n">
        <f aca="false">IF(Anlagen!W33&lt;&gt;"",Anlagen!W33,IF(Quote_Modus=2,Quote_fest,IF(Szenario=2,S33,M33)))</f>
        <v>0.613816359483302</v>
      </c>
      <c r="U33" s="23" t="str">
        <f aca="false">IF(Anlagen!W33&lt;&gt;"","manuell",IF(Quote_Modus=2,"fest",IF(Szenario=2,"Alter, in 5 J.","Alter, heute")))</f>
        <v>Alter, heute</v>
      </c>
      <c r="V33" s="31" t="n">
        <f aca="false">C33*T33</f>
        <v>56.4711050724638</v>
      </c>
    </row>
    <row r="34" customFormat="false" ht="15" hidden="false" customHeight="false" outlineLevel="0" collapsed="false">
      <c r="A34" s="23" t="n">
        <f aca="false">Anlagen!A34</f>
        <v>30</v>
      </c>
      <c r="B34" s="23" t="str">
        <f aca="false">Anlagen!B34</f>
        <v>Feierabend</v>
      </c>
      <c r="C34" s="23" t="n">
        <f aca="false">Anlagen!F34</f>
        <v>190</v>
      </c>
      <c r="D34" s="23" t="n">
        <f aca="false">Anlagen!G34</f>
        <v>5</v>
      </c>
      <c r="E34" s="30" t="n">
        <f aca="false">D34/C34</f>
        <v>0.0263157894736842</v>
      </c>
      <c r="F34" s="30" t="n">
        <f aca="false">Anlagen!I34/MAX(0.0001,SUM(Anlagen!I34:M34))</f>
        <v>0.0341547773454388</v>
      </c>
      <c r="G34" s="30" t="n">
        <f aca="false">Anlagen!J34/MAX(0.0001,SUM(Anlagen!I34:M34))</f>
        <v>0.267185473411154</v>
      </c>
      <c r="H34" s="30" t="n">
        <f aca="false">Anlagen!K34/MAX(0.0001,SUM(Anlagen!I34:M34))</f>
        <v>0.342412451361868</v>
      </c>
      <c r="I34" s="30" t="n">
        <f aca="false">Anlagen!L34/MAX(0.0001,SUM(Anlagen!I34:M34))</f>
        <v>0.351491569390402</v>
      </c>
      <c r="J34" s="30" t="n">
        <f aca="false">Anlagen!M34/MAX(0.0001,SUM(Anlagen!I34:M34))</f>
        <v>0.00475572849113705</v>
      </c>
      <c r="K34" s="30" t="n">
        <f aca="false">F34*Neig_1+G34*Neig_2+H34*Neig_3+I34*Neig_4+J34*Neig_5</f>
        <v>0.556658019887592</v>
      </c>
      <c r="L34" s="30" t="n">
        <f aca="false">IF(LEFT(Anlagen!D34,1)="A",Stufe_A,IF(LEFT(Anlagen!D34,1)="B",Stufe_B,IF(LEFT(Anlagen!D34,1)="C",Stufe_C,Stufe_D)))</f>
        <v>1</v>
      </c>
      <c r="M34" s="30" t="n">
        <f aca="false">K34*(1-E34)*L34</f>
        <v>0.542009124627392</v>
      </c>
      <c r="N34" s="30" t="n">
        <f aca="false">F34*Abg_1+G34*Abg_2+H34*Abg_3+I34*Abg_4+J34*Abg_5</f>
        <v>0.157609165585819</v>
      </c>
      <c r="O34" s="30" t="n">
        <f aca="false">MAX(0,MIN(1,Nachbes-E34*Nachbes_Leer))</f>
        <v>0.647368421052632</v>
      </c>
      <c r="P34" s="31" t="n">
        <f aca="false">D34+(C34-D34)*N34*(1-O34)</f>
        <v>15.2819242496644</v>
      </c>
      <c r="Q34" s="30" t="n">
        <f aca="false">P34/C34</f>
        <v>0.0804311802613914</v>
      </c>
      <c r="R34" s="30" t="n">
        <f aca="false">(F34*(1-Abg_1)*Neig_1+G34*(1-Abg_2)*Neig_2+H34*(1-Abg_3)*Neig_3+I34*(1-Abg_4)*Neig_4+J34*(1-Abg_5)*Neig_5)/MAX(0.0001,1-N34)</f>
        <v>0.578752341604865</v>
      </c>
      <c r="S34" s="30" t="n">
        <f aca="false">(C34-D34)*((1-N34)*R34+N34*O34*Neig_Neu)*L34/C34</f>
        <v>0.549215405847714</v>
      </c>
      <c r="T34" s="30" t="n">
        <f aca="false">IF(Anlagen!W34&lt;&gt;"",Anlagen!W34,IF(Quote_Modus=2,Quote_fest,IF(Szenario=2,S34,M34)))</f>
        <v>0.542009124627392</v>
      </c>
      <c r="U34" s="23" t="str">
        <f aca="false">IF(Anlagen!W34&lt;&gt;"","manuell",IF(Quote_Modus=2,"fest",IF(Szenario=2,"Alter, in 5 J.","Alter, heute")))</f>
        <v>Alter, heute</v>
      </c>
      <c r="V34" s="31" t="n">
        <f aca="false">C34*T34</f>
        <v>102.981733679205</v>
      </c>
    </row>
    <row r="35" customFormat="false" ht="15" hidden="false" customHeight="false" outlineLevel="0" collapsed="false">
      <c r="A35" s="23" t="n">
        <f aca="false">Anlagen!A35</f>
        <v>31</v>
      </c>
      <c r="B35" s="23" t="str">
        <f aca="false">Anlagen!B35</f>
        <v>Feldstraße</v>
      </c>
      <c r="C35" s="23" t="n">
        <f aca="false">Anlagen!F35</f>
        <v>68</v>
      </c>
      <c r="D35" s="23" t="n">
        <f aca="false">Anlagen!G35</f>
        <v>4</v>
      </c>
      <c r="E35" s="30" t="n">
        <f aca="false">D35/C35</f>
        <v>0.0588235294117647</v>
      </c>
      <c r="F35" s="30" t="n">
        <f aca="false">Anlagen!I35/MAX(0.0001,SUM(Anlagen!I35:M35))</f>
        <v>0.0139240506329114</v>
      </c>
      <c r="G35" s="30" t="n">
        <f aca="false">Anlagen!J35/MAX(0.0001,SUM(Anlagen!I35:M35))</f>
        <v>0.308860759493671</v>
      </c>
      <c r="H35" s="30" t="n">
        <f aca="false">Anlagen!K35/MAX(0.0001,SUM(Anlagen!I35:M35))</f>
        <v>0.407594936708861</v>
      </c>
      <c r="I35" s="30" t="n">
        <f aca="false">Anlagen!L35/MAX(0.0001,SUM(Anlagen!I35:M35))</f>
        <v>0.269620253164557</v>
      </c>
      <c r="J35" s="30" t="n">
        <f aca="false">Anlagen!M35/MAX(0.0001,SUM(Anlagen!I35:M35))</f>
        <v>0</v>
      </c>
      <c r="K35" s="30" t="n">
        <f aca="false">F35*Neig_1+G35*Neig_2+H35*Neig_3+I35*Neig_4+J35*Neig_5</f>
        <v>0.581708860759494</v>
      </c>
      <c r="L35" s="30" t="n">
        <f aca="false">IF(LEFT(Anlagen!D35,1)="A",Stufe_A,IF(LEFT(Anlagen!D35,1)="B",Stufe_B,IF(LEFT(Anlagen!D35,1)="C",Stufe_C,Stufe_D)))</f>
        <v>0.9</v>
      </c>
      <c r="M35" s="30" t="n">
        <f aca="false">K35*(1-E35)*L35</f>
        <v>0.492741623231571</v>
      </c>
      <c r="N35" s="30" t="n">
        <f aca="false">F35*Abg_1+G35*Abg_2+H35*Abg_3+I35*Abg_4+J35*Abg_5</f>
        <v>0.137784810126582</v>
      </c>
      <c r="O35" s="30" t="n">
        <f aca="false">MAX(0,MIN(1,Nachbes-E35*Nachbes_Leer))</f>
        <v>0.582352941176471</v>
      </c>
      <c r="P35" s="31" t="n">
        <f aca="false">D35+(C35-D35)*N35*(1-O35)</f>
        <v>7.68290692479524</v>
      </c>
      <c r="Q35" s="30" t="n">
        <f aca="false">P35/C35</f>
        <v>0.112983925364636</v>
      </c>
      <c r="R35" s="30" t="n">
        <f aca="false">(F35*(1-Abg_1)*Neig_1+G35*(1-Abg_2)*Neig_2+H35*(1-Abg_3)*Neig_3+I35*(1-Abg_4)*Neig_4+J35*(1-Abg_5)*Neig_5)/MAX(0.0001,1-N35)</f>
        <v>0.599390736254863</v>
      </c>
      <c r="S35" s="30" t="n">
        <f aca="false">(C35-D35)*((1-N35)*R35+N35*O35*Neig_Neu)*L35/C35</f>
        <v>0.488738828785423</v>
      </c>
      <c r="T35" s="30" t="n">
        <f aca="false">IF(Anlagen!W35&lt;&gt;"",Anlagen!W35,IF(Quote_Modus=2,Quote_fest,IF(Szenario=2,S35,M35)))</f>
        <v>0.492741623231571</v>
      </c>
      <c r="U35" s="23" t="str">
        <f aca="false">IF(Anlagen!W35&lt;&gt;"","manuell",IF(Quote_Modus=2,"fest",IF(Szenario=2,"Alter, in 5 J.","Alter, heute")))</f>
        <v>Alter, heute</v>
      </c>
      <c r="V35" s="31" t="n">
        <f aca="false">C35*T35</f>
        <v>33.5064303797468</v>
      </c>
    </row>
    <row r="36" customFormat="false" ht="15" hidden="false" customHeight="false" outlineLevel="0" collapsed="false">
      <c r="A36" s="23" t="n">
        <f aca="false">Anlagen!A36</f>
        <v>32</v>
      </c>
      <c r="B36" s="23" t="str">
        <f aca="false">Anlagen!B36</f>
        <v>Finkenhain</v>
      </c>
      <c r="C36" s="23" t="n">
        <f aca="false">Anlagen!F36</f>
        <v>8</v>
      </c>
      <c r="D36" s="23" t="n">
        <f aca="false">Anlagen!G36</f>
        <v>0</v>
      </c>
      <c r="E36" s="30" t="n">
        <f aca="false">D36/C36</f>
        <v>0</v>
      </c>
      <c r="F36" s="30" t="n">
        <f aca="false">Anlagen!I36/MAX(0.0001,SUM(Anlagen!I36:M36))</f>
        <v>0</v>
      </c>
      <c r="G36" s="30" t="n">
        <f aca="false">Anlagen!J36/MAX(0.0001,SUM(Anlagen!I36:M36))</f>
        <v>0</v>
      </c>
      <c r="H36" s="30" t="n">
        <f aca="false">Anlagen!K36/MAX(0.0001,SUM(Anlagen!I36:M36))</f>
        <v>0.791666666666667</v>
      </c>
      <c r="I36" s="30" t="n">
        <f aca="false">Anlagen!L36/MAX(0.0001,SUM(Anlagen!I36:M36))</f>
        <v>0.208333333333333</v>
      </c>
      <c r="J36" s="30" t="n">
        <f aca="false">Anlagen!M36/MAX(0.0001,SUM(Anlagen!I36:M36))</f>
        <v>0</v>
      </c>
      <c r="K36" s="30" t="n">
        <f aca="false">F36*Neig_1+G36*Neig_2+H36*Neig_3+I36*Neig_4+J36*Neig_5</f>
        <v>0.547916666666667</v>
      </c>
      <c r="L36" s="30" t="n">
        <f aca="false">IF(LEFT(Anlagen!D36,1)="A",Stufe_A,IF(LEFT(Anlagen!D36,1)="B",Stufe_B,IF(LEFT(Anlagen!D36,1)="C",Stufe_C,Stufe_D)))</f>
        <v>0.9</v>
      </c>
      <c r="M36" s="30" t="n">
        <f aca="false">K36*(1-E36)*L36</f>
        <v>0.493125</v>
      </c>
      <c r="N36" s="30" t="n">
        <f aca="false">F36*Abg_1+G36*Abg_2+H36*Abg_3+I36*Abg_4+J36*Abg_5</f>
        <v>0.141666666666667</v>
      </c>
      <c r="O36" s="30" t="n">
        <f aca="false">MAX(0,MIN(1,Nachbes-E36*Nachbes_Leer))</f>
        <v>0.7</v>
      </c>
      <c r="P36" s="31" t="n">
        <f aca="false">D36+(C36-D36)*N36*(1-O36)</f>
        <v>0.34</v>
      </c>
      <c r="Q36" s="30" t="n">
        <f aca="false">P36/C36</f>
        <v>0.0425</v>
      </c>
      <c r="R36" s="30" t="n">
        <f aca="false">(F36*(1-Abg_1)*Neig_1+G36*(1-Abg_2)*Neig_2+H36*(1-Abg_3)*Neig_3+I36*(1-Abg_4)*Neig_4+J36*(1-Abg_5)*Neig_5)/MAX(0.0001,1-N36)</f>
        <v>0.55752427184466</v>
      </c>
      <c r="S36" s="30" t="n">
        <f aca="false">(C36-D36)*((1-N36)*R36+N36*O36*Neig_Neu)*L36/C36</f>
        <v>0.497625</v>
      </c>
      <c r="T36" s="30" t="n">
        <f aca="false">IF(Anlagen!W36&lt;&gt;"",Anlagen!W36,IF(Quote_Modus=2,Quote_fest,IF(Szenario=2,S36,M36)))</f>
        <v>0.493125</v>
      </c>
      <c r="U36" s="23" t="str">
        <f aca="false">IF(Anlagen!W36&lt;&gt;"","manuell",IF(Quote_Modus=2,"fest",IF(Szenario=2,"Alter, in 5 J.","Alter, heute")))</f>
        <v>Alter, heute</v>
      </c>
      <c r="V36" s="31" t="n">
        <f aca="false">C36*T36</f>
        <v>3.945</v>
      </c>
    </row>
    <row r="37" customFormat="false" ht="15" hidden="false" customHeight="false" outlineLevel="0" collapsed="false">
      <c r="A37" s="23" t="n">
        <f aca="false">Anlagen!A37</f>
        <v>33</v>
      </c>
      <c r="B37" s="23" t="str">
        <f aca="false">Anlagen!B37</f>
        <v>Fohrder Landstraße</v>
      </c>
      <c r="C37" s="23" t="n">
        <f aca="false">Anlagen!F37</f>
        <v>127</v>
      </c>
      <c r="D37" s="23" t="n">
        <f aca="false">Anlagen!G37</f>
        <v>1</v>
      </c>
      <c r="E37" s="30" t="n">
        <f aca="false">D37/C37</f>
        <v>0.0078740157480315</v>
      </c>
      <c r="F37" s="30" t="n">
        <f aca="false">Anlagen!I37/MAX(0.0001,SUM(Anlagen!I37:M37))</f>
        <v>0.00948166877370417</v>
      </c>
      <c r="G37" s="30" t="n">
        <f aca="false">Anlagen!J37/MAX(0.0001,SUM(Anlagen!I37:M37))</f>
        <v>0.34134007585335</v>
      </c>
      <c r="H37" s="30" t="n">
        <f aca="false">Anlagen!K37/MAX(0.0001,SUM(Anlagen!I37:M37))</f>
        <v>0.326801517067004</v>
      </c>
      <c r="I37" s="30" t="n">
        <f aca="false">Anlagen!L37/MAX(0.0001,SUM(Anlagen!I37:M37))</f>
        <v>0.312262958280657</v>
      </c>
      <c r="J37" s="30" t="n">
        <f aca="false">Anlagen!M37/MAX(0.0001,SUM(Anlagen!I37:M37))</f>
        <v>0.0101137800252845</v>
      </c>
      <c r="K37" s="30" t="n">
        <f aca="false">F37*Neig_1+G37*Neig_2+H37*Neig_3+I37*Neig_4+J37*Neig_5</f>
        <v>0.569974715549937</v>
      </c>
      <c r="L37" s="30" t="n">
        <f aca="false">IF(LEFT(Anlagen!D37,1)="A",Stufe_A,IF(LEFT(Anlagen!D37,1)="B",Stufe_B,IF(LEFT(Anlagen!D37,1)="C",Stufe_C,Stufe_D)))</f>
        <v>1</v>
      </c>
      <c r="M37" s="30" t="n">
        <f aca="false">K37*(1-E37)*L37</f>
        <v>0.565486725663717</v>
      </c>
      <c r="N37" s="30" t="n">
        <f aca="false">F37*Abg_1+G37*Abg_2+H37*Abg_3+I37*Abg_4+J37*Abg_5</f>
        <v>0.149968394437421</v>
      </c>
      <c r="O37" s="30" t="n">
        <f aca="false">MAX(0,MIN(1,Nachbes-E37*Nachbes_Leer))</f>
        <v>0.684251968503937</v>
      </c>
      <c r="P37" s="31" t="n">
        <f aca="false">D37+(C37-D37)*N37*(1-O37)</f>
        <v>6.96638039161034</v>
      </c>
      <c r="Q37" s="30" t="n">
        <f aca="false">P37/C37</f>
        <v>0.0548533889103177</v>
      </c>
      <c r="R37" s="30" t="n">
        <f aca="false">(F37*(1-Abg_1)*Neig_1+G37*(1-Abg_2)*Neig_2+H37*(1-Abg_3)*Neig_3+I37*(1-Abg_4)*Neig_4+J37*(1-Abg_5)*Neig_5)/MAX(0.0001,1-N37)</f>
        <v>0.59267521844209</v>
      </c>
      <c r="S37" s="30" t="n">
        <f aca="false">(C37-D37)*((1-N37)*R37+N37*O37*Neig_Neu)*L37/C37</f>
        <v>0.57618192194349</v>
      </c>
      <c r="T37" s="30" t="n">
        <f aca="false">IF(Anlagen!W37&lt;&gt;"",Anlagen!W37,IF(Quote_Modus=2,Quote_fest,IF(Szenario=2,S37,M37)))</f>
        <v>0.565486725663717</v>
      </c>
      <c r="U37" s="23" t="str">
        <f aca="false">IF(Anlagen!W37&lt;&gt;"","manuell",IF(Quote_Modus=2,"fest",IF(Szenario=2,"Alter, in 5 J.","Alter, heute")))</f>
        <v>Alter, heute</v>
      </c>
      <c r="V37" s="31" t="n">
        <f aca="false">C37*T37</f>
        <v>71.816814159292</v>
      </c>
    </row>
    <row r="38" customFormat="false" ht="15" hidden="false" customHeight="false" outlineLevel="0" collapsed="false">
      <c r="A38" s="23" t="n">
        <f aca="false">Anlagen!A38</f>
        <v>34</v>
      </c>
      <c r="B38" s="23" t="str">
        <f aca="false">Anlagen!B38</f>
        <v>Freiheit</v>
      </c>
      <c r="C38" s="23" t="n">
        <f aca="false">Anlagen!F38</f>
        <v>55</v>
      </c>
      <c r="D38" s="23" t="n">
        <f aca="false">Anlagen!G38</f>
        <v>6</v>
      </c>
      <c r="E38" s="30" t="n">
        <f aca="false">D38/C38</f>
        <v>0.109090909090909</v>
      </c>
      <c r="F38" s="30" t="n">
        <f aca="false">Anlagen!I38/MAX(0.0001,SUM(Anlagen!I38:M38))</f>
        <v>0</v>
      </c>
      <c r="G38" s="30" t="n">
        <f aca="false">Anlagen!J38/MAX(0.0001,SUM(Anlagen!I38:M38))</f>
        <v>0.548387096774194</v>
      </c>
      <c r="H38" s="30" t="n">
        <f aca="false">Anlagen!K38/MAX(0.0001,SUM(Anlagen!I38:M38))</f>
        <v>0.327956989247312</v>
      </c>
      <c r="I38" s="30" t="n">
        <f aca="false">Anlagen!L38/MAX(0.0001,SUM(Anlagen!I38:M38))</f>
        <v>0.123655913978495</v>
      </c>
      <c r="J38" s="30" t="n">
        <f aca="false">Anlagen!M38/MAX(0.0001,SUM(Anlagen!I38:M38))</f>
        <v>0</v>
      </c>
      <c r="K38" s="30" t="n">
        <f aca="false">F38*Neig_1+G38*Neig_2+H38*Neig_3+I38*Neig_4+J38*Neig_5</f>
        <v>0.651344086021505</v>
      </c>
      <c r="L38" s="30" t="n">
        <f aca="false">IF(LEFT(Anlagen!D38,1)="A",Stufe_A,IF(LEFT(Anlagen!D38,1)="B",Stufe_B,IF(LEFT(Anlagen!D38,1)="C",Stufe_C,Stufe_D)))</f>
        <v>0.9</v>
      </c>
      <c r="M38" s="30" t="n">
        <f aca="false">K38*(1-E38)*L38</f>
        <v>0.522259530791789</v>
      </c>
      <c r="N38" s="30" t="n">
        <f aca="false">F38*Abg_1+G38*Abg_2+H38*Abg_3+I38*Abg_4+J38*Abg_5</f>
        <v>0.0973118279569893</v>
      </c>
      <c r="O38" s="30" t="n">
        <f aca="false">MAX(0,MIN(1,Nachbes-E38*Nachbes_Leer))</f>
        <v>0.481818181818182</v>
      </c>
      <c r="P38" s="31" t="n">
        <f aca="false">D38+(C38-D38)*N38*(1-O38)</f>
        <v>8.4708357771261</v>
      </c>
      <c r="Q38" s="30" t="n">
        <f aca="false">P38/C38</f>
        <v>0.154015195947747</v>
      </c>
      <c r="R38" s="30" t="n">
        <f aca="false">(F38*(1-Abg_1)*Neig_1+G38*(1-Abg_2)*Neig_2+H38*(1-Abg_3)*Neig_3+I38*(1-Abg_4)*Neig_4+J38*(1-Abg_5)*Neig_5)/MAX(0.0001,1-N38)</f>
        <v>0.662596783799881</v>
      </c>
      <c r="S38" s="30" t="n">
        <f aca="false">(C38-D38)*((1-N38)*R38+N38*O38*Neig_Neu)*L38/C38</f>
        <v>0.507778012529992</v>
      </c>
      <c r="T38" s="30" t="n">
        <f aca="false">IF(Anlagen!W38&lt;&gt;"",Anlagen!W38,IF(Quote_Modus=2,Quote_fest,IF(Szenario=2,S38,M38)))</f>
        <v>0.522259530791789</v>
      </c>
      <c r="U38" s="23" t="str">
        <f aca="false">IF(Anlagen!W38&lt;&gt;"","manuell",IF(Quote_Modus=2,"fest",IF(Szenario=2,"Alter, in 5 J.","Alter, heute")))</f>
        <v>Alter, heute</v>
      </c>
      <c r="V38" s="31" t="n">
        <f aca="false">C38*T38</f>
        <v>28.7242741935484</v>
      </c>
    </row>
    <row r="39" customFormat="false" ht="15" hidden="false" customHeight="false" outlineLevel="0" collapsed="false">
      <c r="A39" s="23" t="n">
        <f aca="false">Anlagen!A39</f>
        <v>35</v>
      </c>
      <c r="B39" s="23" t="str">
        <f aca="false">Anlagen!B39</f>
        <v>Freizeit</v>
      </c>
      <c r="C39" s="23" t="n">
        <f aca="false">Anlagen!F39</f>
        <v>63</v>
      </c>
      <c r="D39" s="23" t="n">
        <f aca="false">Anlagen!G39</f>
        <v>1</v>
      </c>
      <c r="E39" s="30" t="n">
        <f aca="false">D39/C39</f>
        <v>0.0158730158730159</v>
      </c>
      <c r="F39" s="30" t="n">
        <f aca="false">Anlagen!I39/MAX(0.0001,SUM(Anlagen!I39:M39))</f>
        <v>0.0235783633841886</v>
      </c>
      <c r="G39" s="30" t="n">
        <f aca="false">Anlagen!J39/MAX(0.0001,SUM(Anlagen!I39:M39))</f>
        <v>0.287101248266297</v>
      </c>
      <c r="H39" s="30" t="n">
        <f aca="false">Anlagen!K39/MAX(0.0001,SUM(Anlagen!I39:M39))</f>
        <v>0.399445214979196</v>
      </c>
      <c r="I39" s="30" t="n">
        <f aca="false">Anlagen!L39/MAX(0.0001,SUM(Anlagen!I39:M39))</f>
        <v>0.289875173370319</v>
      </c>
      <c r="J39" s="30" t="n">
        <f aca="false">Anlagen!M39/MAX(0.0001,SUM(Anlagen!I39:M39))</f>
        <v>0</v>
      </c>
      <c r="K39" s="30" t="n">
        <f aca="false">F39*Neig_1+G39*Neig_2+H39*Neig_3+I39*Neig_4+J39*Neig_5</f>
        <v>0.575312066574203</v>
      </c>
      <c r="L39" s="30" t="n">
        <f aca="false">IF(LEFT(Anlagen!D39,1)="A",Stufe_A,IF(LEFT(Anlagen!D39,1)="B",Stufe_B,IF(LEFT(Anlagen!D39,1)="C",Stufe_C,Stufe_D)))</f>
        <v>1</v>
      </c>
      <c r="M39" s="30" t="n">
        <f aca="false">K39*(1-E39)*L39</f>
        <v>0.566180129009533</v>
      </c>
      <c r="N39" s="30" t="n">
        <f aca="false">F39*Abg_1+G39*Abg_2+H39*Abg_3+I39*Abg_4+J39*Abg_5</f>
        <v>0.14244105409154</v>
      </c>
      <c r="O39" s="30" t="n">
        <f aca="false">MAX(0,MIN(1,Nachbes-E39*Nachbes_Leer))</f>
        <v>0.668253968253968</v>
      </c>
      <c r="P39" s="31" t="n">
        <f aca="false">D39+(C39-D39)*N39*(1-O39)</f>
        <v>3.92976377606059</v>
      </c>
      <c r="Q39" s="30" t="n">
        <f aca="false">P39/C39</f>
        <v>0.0623772027946125</v>
      </c>
      <c r="R39" s="30" t="n">
        <f aca="false">(F39*(1-Abg_1)*Neig_1+G39*(1-Abg_2)*Neig_2+H39*(1-Abg_3)*Neig_3+I39*(1-Abg_4)*Neig_4+J39*(1-Abg_5)*Neig_5)/MAX(0.0001,1-N39)</f>
        <v>0.593777292576419</v>
      </c>
      <c r="S39" s="30" t="n">
        <f aca="false">(C39-D39)*((1-N39)*R39+N39*O39*Neig_Neu)*L39/C39</f>
        <v>0.571373428397403</v>
      </c>
      <c r="T39" s="30" t="n">
        <f aca="false">IF(Anlagen!W39&lt;&gt;"",Anlagen!W39,IF(Quote_Modus=2,Quote_fest,IF(Szenario=2,S39,M39)))</f>
        <v>0.566180129009533</v>
      </c>
      <c r="U39" s="23" t="str">
        <f aca="false">IF(Anlagen!W39&lt;&gt;"","manuell",IF(Quote_Modus=2,"fest",IF(Szenario=2,"Alter, in 5 J.","Alter, heute")))</f>
        <v>Alter, heute</v>
      </c>
      <c r="V39" s="31" t="n">
        <f aca="false">C39*T39</f>
        <v>35.6693481276006</v>
      </c>
    </row>
    <row r="40" customFormat="false" ht="15" hidden="false" customHeight="false" outlineLevel="0" collapsed="false">
      <c r="A40" s="23" t="n">
        <f aca="false">Anlagen!A40</f>
        <v>36</v>
      </c>
      <c r="B40" s="23" t="str">
        <f aca="false">Anlagen!B40</f>
        <v>Friedland</v>
      </c>
      <c r="C40" s="23" t="n">
        <f aca="false">Anlagen!F40</f>
        <v>64</v>
      </c>
      <c r="D40" s="23" t="n">
        <f aca="false">Anlagen!G40</f>
        <v>1</v>
      </c>
      <c r="E40" s="30" t="n">
        <f aca="false">D40/C40</f>
        <v>0.015625</v>
      </c>
      <c r="F40" s="30" t="n">
        <f aca="false">Anlagen!I40/MAX(0.0001,SUM(Anlagen!I40:M40))</f>
        <v>0</v>
      </c>
      <c r="G40" s="30" t="n">
        <f aca="false">Anlagen!J40/MAX(0.0001,SUM(Anlagen!I40:M40))</f>
        <v>0.393630573248408</v>
      </c>
      <c r="H40" s="30" t="n">
        <f aca="false">Anlagen!K40/MAX(0.0001,SUM(Anlagen!I40:M40))</f>
        <v>0.309554140127389</v>
      </c>
      <c r="I40" s="30" t="n">
        <f aca="false">Anlagen!L40/MAX(0.0001,SUM(Anlagen!I40:M40))</f>
        <v>0.296815286624204</v>
      </c>
      <c r="J40" s="30" t="n">
        <f aca="false">Anlagen!M40/MAX(0.0001,SUM(Anlagen!I40:M40))</f>
        <v>0</v>
      </c>
      <c r="K40" s="30" t="n">
        <f aca="false">F40*Neig_1+G40*Neig_2+H40*Neig_3+I40*Neig_4+J40*Neig_5</f>
        <v>0.58484076433121</v>
      </c>
      <c r="L40" s="30" t="n">
        <f aca="false">IF(LEFT(Anlagen!D40,1)="A",Stufe_A,IF(LEFT(Anlagen!D40,1)="B",Stufe_B,IF(LEFT(Anlagen!D40,1)="C",Stufe_C,Stufe_D)))</f>
        <v>1</v>
      </c>
      <c r="M40" s="30" t="n">
        <f aca="false">K40*(1-E40)*L40</f>
        <v>0.575702627388535</v>
      </c>
      <c r="N40" s="30" t="n">
        <f aca="false">F40*Abg_1+G40*Abg_2+H40*Abg_3+I40*Abg_4+J40*Abg_5</f>
        <v>0.13968152866242</v>
      </c>
      <c r="O40" s="30" t="n">
        <f aca="false">MAX(0,MIN(1,Nachbes-E40*Nachbes_Leer))</f>
        <v>0.66875</v>
      </c>
      <c r="P40" s="31" t="n">
        <f aca="false">D40+(C40-D40)*N40*(1-O40)</f>
        <v>3.91497890127389</v>
      </c>
      <c r="Q40" s="30" t="n">
        <f aca="false">P40/C40</f>
        <v>0.0611715453324045</v>
      </c>
      <c r="R40" s="30" t="n">
        <f aca="false">(F40*(1-Abg_1)*Neig_1+G40*(1-Abg_2)*Neig_2+H40*(1-Abg_3)*Neig_3+I40*(1-Abg_4)*Neig_4+J40*(1-Abg_5)*Neig_5)/MAX(0.0001,1-N40)</f>
        <v>0.604823424890797</v>
      </c>
      <c r="S40" s="30" t="n">
        <f aca="false">(C40-D40)*((1-N40)*R40+N40*O40*Neig_Neu)*L40/C40</f>
        <v>0.581174784472034</v>
      </c>
      <c r="T40" s="30" t="n">
        <f aca="false">IF(Anlagen!W40&lt;&gt;"",Anlagen!W40,IF(Quote_Modus=2,Quote_fest,IF(Szenario=2,S40,M40)))</f>
        <v>0.575702627388535</v>
      </c>
      <c r="U40" s="23" t="str">
        <f aca="false">IF(Anlagen!W40&lt;&gt;"","manuell",IF(Quote_Modus=2,"fest",IF(Szenario=2,"Alter, in 5 J.","Alter, heute")))</f>
        <v>Alter, heute</v>
      </c>
      <c r="V40" s="31" t="n">
        <f aca="false">C40*T40</f>
        <v>36.8449681528662</v>
      </c>
    </row>
    <row r="41" customFormat="false" ht="15" hidden="false" customHeight="false" outlineLevel="0" collapsed="false">
      <c r="A41" s="23" t="n">
        <f aca="false">Anlagen!A41</f>
        <v>37</v>
      </c>
      <c r="B41" s="23" t="str">
        <f aca="false">Anlagen!B41</f>
        <v>Frisch Auf</v>
      </c>
      <c r="C41" s="23" t="n">
        <f aca="false">Anlagen!F41</f>
        <v>19</v>
      </c>
      <c r="D41" s="23" t="n">
        <f aca="false">Anlagen!G41</f>
        <v>1</v>
      </c>
      <c r="E41" s="30" t="n">
        <f aca="false">D41/C41</f>
        <v>0.0526315789473684</v>
      </c>
      <c r="F41" s="30" t="n">
        <f aca="false">Anlagen!I41/MAX(0.0001,SUM(Anlagen!I41:M41))</f>
        <v>0</v>
      </c>
      <c r="G41" s="30" t="n">
        <f aca="false">Anlagen!J41/MAX(0.0001,SUM(Anlagen!I41:M41))</f>
        <v>0.176190476190476</v>
      </c>
      <c r="H41" s="30" t="n">
        <f aca="false">Anlagen!K41/MAX(0.0001,SUM(Anlagen!I41:M41))</f>
        <v>0.590476190476191</v>
      </c>
      <c r="I41" s="30" t="n">
        <f aca="false">Anlagen!L41/MAX(0.0001,SUM(Anlagen!I41:M41))</f>
        <v>0.233333333333333</v>
      </c>
      <c r="J41" s="30" t="n">
        <f aca="false">Anlagen!M41/MAX(0.0001,SUM(Anlagen!I41:M41))</f>
        <v>0</v>
      </c>
      <c r="K41" s="30" t="n">
        <f aca="false">F41*Neig_1+G41*Neig_2+H41*Neig_3+I41*Neig_4+J41*Neig_5</f>
        <v>0.568095238095238</v>
      </c>
      <c r="L41" s="30" t="n">
        <f aca="false">IF(LEFT(Anlagen!D41,1)="A",Stufe_A,IF(LEFT(Anlagen!D41,1)="B",Stufe_B,IF(LEFT(Anlagen!D41,1)="C",Stufe_C,Stufe_D)))</f>
        <v>1</v>
      </c>
      <c r="M41" s="30" t="n">
        <f aca="false">K41*(1-E41)*L41</f>
        <v>0.538195488721805</v>
      </c>
      <c r="N41" s="30" t="n">
        <f aca="false">F41*Abg_1+G41*Abg_2+H41*Abg_3+I41*Abg_4+J41*Abg_5</f>
        <v>0.137857142857143</v>
      </c>
      <c r="O41" s="30" t="n">
        <f aca="false">MAX(0,MIN(1,Nachbes-E41*Nachbes_Leer))</f>
        <v>0.594736842105263</v>
      </c>
      <c r="P41" s="31" t="n">
        <f aca="false">D41+(C41-D41)*N41*(1-O41)</f>
        <v>2.00563157894737</v>
      </c>
      <c r="Q41" s="30" t="n">
        <f aca="false">P41/C41</f>
        <v>0.105559556786704</v>
      </c>
      <c r="R41" s="30" t="n">
        <f aca="false">(F41*(1-Abg_1)*Neig_1+G41*(1-Abg_2)*Neig_2+H41*(1-Abg_3)*Neig_3+I41*(1-Abg_4)*Neig_4+J41*(1-Abg_5)*Neig_5)/MAX(0.0001,1-N41)</f>
        <v>0.581759182546258</v>
      </c>
      <c r="S41" s="30" t="n">
        <f aca="false">(C41-D41)*((1-N41)*R41+N41*O41*Neig_Neu)*L41/C41</f>
        <v>0.533416798575386</v>
      </c>
      <c r="T41" s="30" t="n">
        <f aca="false">IF(Anlagen!W41&lt;&gt;"",Anlagen!W41,IF(Quote_Modus=2,Quote_fest,IF(Szenario=2,S41,M41)))</f>
        <v>0.538195488721805</v>
      </c>
      <c r="U41" s="23" t="str">
        <f aca="false">IF(Anlagen!W41&lt;&gt;"","manuell",IF(Quote_Modus=2,"fest",IF(Szenario=2,"Alter, in 5 J.","Alter, heute")))</f>
        <v>Alter, heute</v>
      </c>
      <c r="V41" s="31" t="n">
        <f aca="false">C41*T41</f>
        <v>10.2257142857143</v>
      </c>
    </row>
    <row r="42" customFormat="false" ht="15" hidden="false" customHeight="false" outlineLevel="0" collapsed="false">
      <c r="A42" s="23" t="n">
        <f aca="false">Anlagen!A42</f>
        <v>38</v>
      </c>
      <c r="B42" s="23" t="str">
        <f aca="false">Anlagen!B42</f>
        <v>Frohsinn</v>
      </c>
      <c r="C42" s="23" t="n">
        <f aca="false">Anlagen!F42</f>
        <v>54</v>
      </c>
      <c r="D42" s="23" t="n">
        <f aca="false">Anlagen!G42</f>
        <v>3</v>
      </c>
      <c r="E42" s="30" t="n">
        <f aca="false">D42/C42</f>
        <v>0.0555555555555556</v>
      </c>
      <c r="F42" s="30" t="n">
        <f aca="false">Anlagen!I42/MAX(0.0001,SUM(Anlagen!I42:M42))</f>
        <v>0.00571428571428571</v>
      </c>
      <c r="G42" s="30" t="n">
        <f aca="false">Anlagen!J42/MAX(0.0001,SUM(Anlagen!I42:M42))</f>
        <v>0.338571428571429</v>
      </c>
      <c r="H42" s="30" t="n">
        <f aca="false">Anlagen!K42/MAX(0.0001,SUM(Anlagen!I42:M42))</f>
        <v>0.478571428571429</v>
      </c>
      <c r="I42" s="30" t="n">
        <f aca="false">Anlagen!L42/MAX(0.0001,SUM(Anlagen!I42:M42))</f>
        <v>0.177142857142857</v>
      </c>
      <c r="J42" s="30" t="n">
        <f aca="false">Anlagen!M42/MAX(0.0001,SUM(Anlagen!I42:M42))</f>
        <v>0</v>
      </c>
      <c r="K42" s="30" t="n">
        <f aca="false">F42*Neig_1+G42*Neig_2+H42*Neig_3+I42*Neig_4+J42*Neig_5</f>
        <v>0.607642857142857</v>
      </c>
      <c r="L42" s="30" t="n">
        <f aca="false">IF(LEFT(Anlagen!D42,1)="A",Stufe_A,IF(LEFT(Anlagen!D42,1)="B",Stufe_B,IF(LEFT(Anlagen!D42,1)="C",Stufe_C,Stufe_D)))</f>
        <v>0.9</v>
      </c>
      <c r="M42" s="30" t="n">
        <f aca="false">K42*(1-E42)*L42</f>
        <v>0.516496428571429</v>
      </c>
      <c r="N42" s="30" t="n">
        <f aca="false">F42*Abg_1+G42*Abg_2+H42*Abg_3+I42*Abg_4+J42*Abg_5</f>
        <v>0.118214285714286</v>
      </c>
      <c r="O42" s="30" t="n">
        <f aca="false">MAX(0,MIN(1,Nachbes-E42*Nachbes_Leer))</f>
        <v>0.588888888888889</v>
      </c>
      <c r="P42" s="31" t="n">
        <f aca="false">D42+(C42-D42)*N42*(1-O42)</f>
        <v>5.47855952380952</v>
      </c>
      <c r="Q42" s="30" t="n">
        <f aca="false">P42/C42</f>
        <v>0.101454805996473</v>
      </c>
      <c r="R42" s="30" t="n">
        <f aca="false">(F42*(1-Abg_1)*Neig_1+G42*(1-Abg_2)*Neig_2+H42*(1-Abg_3)*Neig_3+I42*(1-Abg_4)*Neig_4+J42*(1-Abg_5)*Neig_5)/MAX(0.0001,1-N42)</f>
        <v>0.620789793438639</v>
      </c>
      <c r="S42" s="30" t="n">
        <f aca="false">(C42-D42)*((1-N42)*R42+N42*O42*Neig_Neu)*L42/C42</f>
        <v>0.509672648809524</v>
      </c>
      <c r="T42" s="30" t="n">
        <f aca="false">IF(Anlagen!W42&lt;&gt;"",Anlagen!W42,IF(Quote_Modus=2,Quote_fest,IF(Szenario=2,S42,M42)))</f>
        <v>0.516496428571429</v>
      </c>
      <c r="U42" s="23" t="str">
        <f aca="false">IF(Anlagen!W42&lt;&gt;"","manuell",IF(Quote_Modus=2,"fest",IF(Szenario=2,"Alter, in 5 J.","Alter, heute")))</f>
        <v>Alter, heute</v>
      </c>
      <c r="V42" s="31" t="n">
        <f aca="false">C42*T42</f>
        <v>27.8908071428571</v>
      </c>
    </row>
    <row r="43" customFormat="false" ht="15" hidden="false" customHeight="false" outlineLevel="0" collapsed="false">
      <c r="A43" s="23" t="n">
        <f aca="false">Anlagen!A43</f>
        <v>39</v>
      </c>
      <c r="B43" s="23" t="str">
        <f aca="false">Anlagen!B43</f>
        <v>Gartenfreunde Brielower Aue</v>
      </c>
      <c r="C43" s="23" t="n">
        <f aca="false">Anlagen!F43</f>
        <v>69</v>
      </c>
      <c r="D43" s="23" t="n">
        <f aca="false">Anlagen!G43</f>
        <v>1</v>
      </c>
      <c r="E43" s="30" t="n">
        <f aca="false">D43/C43</f>
        <v>0.0144927536231884</v>
      </c>
      <c r="F43" s="30" t="n">
        <f aca="false">Anlagen!I43/MAX(0.0001,SUM(Anlagen!I43:M43))</f>
        <v>0.0334728033472803</v>
      </c>
      <c r="G43" s="30" t="n">
        <f aca="false">Anlagen!J43/MAX(0.0001,SUM(Anlagen!I43:M43))</f>
        <v>0.383542538354254</v>
      </c>
      <c r="H43" s="30" t="n">
        <f aca="false">Anlagen!K43/MAX(0.0001,SUM(Anlagen!I43:M43))</f>
        <v>0.386331938633194</v>
      </c>
      <c r="I43" s="30" t="n">
        <f aca="false">Anlagen!L43/MAX(0.0001,SUM(Anlagen!I43:M43))</f>
        <v>0.196652719665272</v>
      </c>
      <c r="J43" s="30" t="n">
        <f aca="false">Anlagen!M43/MAX(0.0001,SUM(Anlagen!I43:M43))</f>
        <v>0</v>
      </c>
      <c r="K43" s="30" t="n">
        <f aca="false">F43*Neig_1+G43*Neig_2+H43*Neig_3+I43*Neig_4+J43*Neig_5</f>
        <v>0.615062761506276</v>
      </c>
      <c r="L43" s="30" t="n">
        <f aca="false">IF(LEFT(Anlagen!D43,1)="A",Stufe_A,IF(LEFT(Anlagen!D43,1)="B",Stufe_B,IF(LEFT(Anlagen!D43,1)="C",Stufe_C,Stufe_D)))</f>
        <v>1</v>
      </c>
      <c r="M43" s="30" t="n">
        <f aca="false">K43*(1-E43)*L43</f>
        <v>0.606148808440968</v>
      </c>
      <c r="N43" s="30" t="n">
        <f aca="false">F43*Abg_1+G43*Abg_2+H43*Abg_3+I43*Abg_4+J43*Abg_5</f>
        <v>0.118479776847978</v>
      </c>
      <c r="O43" s="30" t="n">
        <f aca="false">MAX(0,MIN(1,Nachbes-E43*Nachbes_Leer))</f>
        <v>0.671014492753623</v>
      </c>
      <c r="P43" s="31" t="n">
        <f aca="false">D43+(C43-D43)*N43*(1-O43)</f>
        <v>3.65051280496432</v>
      </c>
      <c r="Q43" s="30" t="n">
        <f aca="false">P43/C43</f>
        <v>0.0529059826806424</v>
      </c>
      <c r="R43" s="30" t="n">
        <f aca="false">(F43*(1-Abg_1)*Neig_1+G43*(1-Abg_2)*Neig_2+H43*(1-Abg_3)*Neig_3+I43*(1-Abg_4)*Neig_4+J43*(1-Abg_5)*Neig_5)/MAX(0.0001,1-N43)</f>
        <v>0.630175619017483</v>
      </c>
      <c r="S43" s="30" t="n">
        <f aca="false">(C43-D43)*((1-N43)*R43+N43*O43*Neig_Neu)*L43/C43</f>
        <v>0.606223732927666</v>
      </c>
      <c r="T43" s="30" t="n">
        <f aca="false">IF(Anlagen!W43&lt;&gt;"",Anlagen!W43,IF(Quote_Modus=2,Quote_fest,IF(Szenario=2,S43,M43)))</f>
        <v>0.606148808440968</v>
      </c>
      <c r="U43" s="23" t="str">
        <f aca="false">IF(Anlagen!W43&lt;&gt;"","manuell",IF(Quote_Modus=2,"fest",IF(Szenario=2,"Alter, in 5 J.","Alter, heute")))</f>
        <v>Alter, heute</v>
      </c>
      <c r="V43" s="31" t="n">
        <f aca="false">C43*T43</f>
        <v>41.8242677824268</v>
      </c>
    </row>
    <row r="44" customFormat="false" ht="15" hidden="false" customHeight="false" outlineLevel="0" collapsed="false">
      <c r="A44" s="23" t="n">
        <f aca="false">Anlagen!A44</f>
        <v>40</v>
      </c>
      <c r="B44" s="23" t="str">
        <f aca="false">Anlagen!B44</f>
        <v>Glück Auf</v>
      </c>
      <c r="C44" s="23" t="n">
        <f aca="false">Anlagen!F44</f>
        <v>34</v>
      </c>
      <c r="D44" s="23" t="n">
        <f aca="false">Anlagen!G44</f>
        <v>2</v>
      </c>
      <c r="E44" s="30" t="n">
        <f aca="false">D44/C44</f>
        <v>0.0588235294117647</v>
      </c>
      <c r="F44" s="30" t="n">
        <f aca="false">Anlagen!I44/MAX(0.0001,SUM(Anlagen!I44:M44))</f>
        <v>0.003003003003003</v>
      </c>
      <c r="G44" s="30" t="n">
        <f aca="false">Anlagen!J44/MAX(0.0001,SUM(Anlagen!I44:M44))</f>
        <v>0.381381381381381</v>
      </c>
      <c r="H44" s="30" t="n">
        <f aca="false">Anlagen!K44/MAX(0.0001,SUM(Anlagen!I44:M44))</f>
        <v>0.402402402402402</v>
      </c>
      <c r="I44" s="30" t="n">
        <f aca="false">Anlagen!L44/MAX(0.0001,SUM(Anlagen!I44:M44))</f>
        <v>0.213213213213213</v>
      </c>
      <c r="J44" s="30" t="n">
        <f aca="false">Anlagen!M44/MAX(0.0001,SUM(Anlagen!I44:M44))</f>
        <v>0</v>
      </c>
      <c r="K44" s="30" t="n">
        <f aca="false">F44*Neig_1+G44*Neig_2+H44*Neig_3+I44*Neig_4+J44*Neig_5</f>
        <v>0.604504504504505</v>
      </c>
      <c r="L44" s="30" t="n">
        <f aca="false">IF(LEFT(Anlagen!D44,1)="A",Stufe_A,IF(LEFT(Anlagen!D44,1)="B",Stufe_B,IF(LEFT(Anlagen!D44,1)="C",Stufe_C,Stufe_D)))</f>
        <v>1</v>
      </c>
      <c r="M44" s="30" t="n">
        <f aca="false">K44*(1-E44)*L44</f>
        <v>0.56894541600424</v>
      </c>
      <c r="N44" s="30" t="n">
        <f aca="false">F44*Abg_1+G44*Abg_2+H44*Abg_3+I44*Abg_4+J44*Abg_5</f>
        <v>0.123423423423423</v>
      </c>
      <c r="O44" s="30" t="n">
        <f aca="false">MAX(0,MIN(1,Nachbes-E44*Nachbes_Leer))</f>
        <v>0.582352941176471</v>
      </c>
      <c r="P44" s="31" t="n">
        <f aca="false">D44+(C44-D44)*N44*(1-O44)</f>
        <v>3.64951775304717</v>
      </c>
      <c r="Q44" s="30" t="n">
        <f aca="false">P44/C44</f>
        <v>0.107338757442564</v>
      </c>
      <c r="R44" s="30" t="n">
        <f aca="false">(F44*(1-Abg_1)*Neig_1+G44*(1-Abg_2)*Neig_2+H44*(1-Abg_3)*Neig_3+I44*(1-Abg_4)*Neig_4+J44*(1-Abg_5)*Neig_5)/MAX(0.0001,1-N44)</f>
        <v>0.620083932853717</v>
      </c>
      <c r="S44" s="30" t="n">
        <f aca="false">(C44-D44)*((1-N44)*R44+N44*O44*Neig_Neu)*L44/C44</f>
        <v>0.562313455323836</v>
      </c>
      <c r="T44" s="30" t="n">
        <f aca="false">IF(Anlagen!W44&lt;&gt;"",Anlagen!W44,IF(Quote_Modus=2,Quote_fest,IF(Szenario=2,S44,M44)))</f>
        <v>0.56894541600424</v>
      </c>
      <c r="U44" s="23" t="str">
        <f aca="false">IF(Anlagen!W44&lt;&gt;"","manuell",IF(Quote_Modus=2,"fest",IF(Szenario=2,"Alter, in 5 J.","Alter, heute")))</f>
        <v>Alter, heute</v>
      </c>
      <c r="V44" s="31" t="n">
        <f aca="false">C44*T44</f>
        <v>19.3441441441441</v>
      </c>
    </row>
    <row r="45" customFormat="false" ht="15" hidden="false" customHeight="false" outlineLevel="0" collapsed="false">
      <c r="A45" s="23" t="n">
        <f aca="false">Anlagen!A45</f>
        <v>41</v>
      </c>
      <c r="B45" s="23" t="str">
        <f aca="false">Anlagen!B45</f>
        <v>Glück im Winkel</v>
      </c>
      <c r="C45" s="23" t="n">
        <f aca="false">Anlagen!F45</f>
        <v>139</v>
      </c>
      <c r="D45" s="23" t="n">
        <f aca="false">Anlagen!G45</f>
        <v>3</v>
      </c>
      <c r="E45" s="30" t="n">
        <f aca="false">D45/C45</f>
        <v>0.0215827338129496</v>
      </c>
      <c r="F45" s="30" t="n">
        <f aca="false">Anlagen!I45/MAX(0.0001,SUM(Anlagen!I45:M45))</f>
        <v>0.0521091811414392</v>
      </c>
      <c r="G45" s="30" t="n">
        <f aca="false">Anlagen!J45/MAX(0.0001,SUM(Anlagen!I45:M45))</f>
        <v>0.318238213399504</v>
      </c>
      <c r="H45" s="30" t="n">
        <f aca="false">Anlagen!K45/MAX(0.0001,SUM(Anlagen!I45:M45))</f>
        <v>0.377171215880893</v>
      </c>
      <c r="I45" s="30" t="n">
        <f aca="false">Anlagen!L45/MAX(0.0001,SUM(Anlagen!I45:M45))</f>
        <v>0.252481389578164</v>
      </c>
      <c r="J45" s="30" t="n">
        <f aca="false">Anlagen!M45/MAX(0.0001,SUM(Anlagen!I45:M45))</f>
        <v>0</v>
      </c>
      <c r="K45" s="30" t="n">
        <f aca="false">F45*Neig_1+G45*Neig_2+H45*Neig_3+I45*Neig_4+J45*Neig_5</f>
        <v>0.595037220843673</v>
      </c>
      <c r="L45" s="30" t="n">
        <f aca="false">IF(LEFT(Anlagen!D45,1)="A",Stufe_A,IF(LEFT(Anlagen!D45,1)="B",Stufe_B,IF(LEFT(Anlagen!D45,1)="C",Stufe_C,Stufe_D)))</f>
        <v>1</v>
      </c>
      <c r="M45" s="30" t="n">
        <f aca="false">K45*(1-E45)*L45</f>
        <v>0.582194690897406</v>
      </c>
      <c r="N45" s="30" t="n">
        <f aca="false">F45*Abg_1+G45*Abg_2+H45*Abg_3+I45*Abg_4+J45*Abg_5</f>
        <v>0.131978908188586</v>
      </c>
      <c r="O45" s="30" t="n">
        <f aca="false">MAX(0,MIN(1,Nachbes-E45*Nachbes_Leer))</f>
        <v>0.656834532374101</v>
      </c>
      <c r="P45" s="31" t="n">
        <f aca="false">D45+(C45-D45)*N45*(1-O45)</f>
        <v>9.15952210935966</v>
      </c>
      <c r="Q45" s="30" t="n">
        <f aca="false">P45/C45</f>
        <v>0.0658958425133789</v>
      </c>
      <c r="R45" s="30" t="n">
        <f aca="false">(F45*(1-Abg_1)*Neig_1+G45*(1-Abg_2)*Neig_2+H45*(1-Abg_3)*Neig_3+I45*(1-Abg_4)*Neig_4+J45*(1-Abg_5)*Neig_5)/MAX(0.0001,1-N45)</f>
        <v>0.612747900661068</v>
      </c>
      <c r="S45" s="30" t="n">
        <f aca="false">(C45-D45)*((1-N45)*R45+N45*O45*Neig_Neu)*L45/C45</f>
        <v>0.584011718629095</v>
      </c>
      <c r="T45" s="30" t="n">
        <f aca="false">IF(Anlagen!W45&lt;&gt;"",Anlagen!W45,IF(Quote_Modus=2,Quote_fest,IF(Szenario=2,S45,M45)))</f>
        <v>0.582194690897406</v>
      </c>
      <c r="U45" s="23" t="str">
        <f aca="false">IF(Anlagen!W45&lt;&gt;"","manuell",IF(Quote_Modus=2,"fest",IF(Szenario=2,"Alter, in 5 J.","Alter, heute")))</f>
        <v>Alter, heute</v>
      </c>
      <c r="V45" s="31" t="n">
        <f aca="false">C45*T45</f>
        <v>80.9250620347395</v>
      </c>
    </row>
    <row r="46" customFormat="false" ht="15" hidden="false" customHeight="false" outlineLevel="0" collapsed="false">
      <c r="A46" s="23" t="n">
        <f aca="false">Anlagen!A46</f>
        <v>42</v>
      </c>
      <c r="B46" s="23" t="str">
        <f aca="false">Anlagen!B46</f>
        <v>Grüne Ecke</v>
      </c>
      <c r="C46" s="23" t="n">
        <f aca="false">Anlagen!F46</f>
        <v>50</v>
      </c>
      <c r="D46" s="23" t="n">
        <f aca="false">Anlagen!G46</f>
        <v>0</v>
      </c>
      <c r="E46" s="30" t="n">
        <f aca="false">D46/C46</f>
        <v>0</v>
      </c>
      <c r="F46" s="30" t="n">
        <f aca="false">Anlagen!I46/MAX(0.0001,SUM(Anlagen!I46:M46))</f>
        <v>0</v>
      </c>
      <c r="G46" s="30" t="n">
        <f aca="false">Anlagen!J46/MAX(0.0001,SUM(Anlagen!I46:M46))</f>
        <v>0.208571428571429</v>
      </c>
      <c r="H46" s="30" t="n">
        <f aca="false">Anlagen!K46/MAX(0.0001,SUM(Anlagen!I46:M46))</f>
        <v>0.552857142857143</v>
      </c>
      <c r="I46" s="30" t="n">
        <f aca="false">Anlagen!L46/MAX(0.0001,SUM(Anlagen!I46:M46))</f>
        <v>0.238571428571429</v>
      </c>
      <c r="J46" s="30" t="n">
        <f aca="false">Anlagen!M46/MAX(0.0001,SUM(Anlagen!I46:M46))</f>
        <v>0</v>
      </c>
      <c r="K46" s="30" t="n">
        <f aca="false">F46*Neig_1+G46*Neig_2+H46*Neig_3+I46*Neig_4+J46*Neig_5</f>
        <v>0.571642857142857</v>
      </c>
      <c r="L46" s="30" t="n">
        <f aca="false">IF(LEFT(Anlagen!D46,1)="A",Stufe_A,IF(LEFT(Anlagen!D46,1)="B",Stufe_B,IF(LEFT(Anlagen!D46,1)="C",Stufe_C,Stufe_D)))</f>
        <v>1</v>
      </c>
      <c r="M46" s="30" t="n">
        <f aca="false">K46*(1-E46)*L46</f>
        <v>0.571642857142857</v>
      </c>
      <c r="N46" s="30" t="n">
        <f aca="false">F46*Abg_1+G46*Abg_2+H46*Abg_3+I46*Abg_4+J46*Abg_5</f>
        <v>0.137285714285714</v>
      </c>
      <c r="O46" s="30" t="n">
        <f aca="false">MAX(0,MIN(1,Nachbes-E46*Nachbes_Leer))</f>
        <v>0.7</v>
      </c>
      <c r="P46" s="31" t="n">
        <f aca="false">D46+(C46-D46)*N46*(1-O46)</f>
        <v>2.05928571428571</v>
      </c>
      <c r="Q46" s="30" t="n">
        <f aca="false">P46/C46</f>
        <v>0.0411857142857143</v>
      </c>
      <c r="R46" s="30" t="n">
        <f aca="false">(F46*(1-Abg_1)*Neig_1+G46*(1-Abg_2)*Neig_2+H46*(1-Abg_3)*Neig_3+I46*(1-Abg_4)*Neig_4+J46*(1-Abg_5)*Neig_5)/MAX(0.0001,1-N46)</f>
        <v>0.586057294254016</v>
      </c>
      <c r="S46" s="30" t="n">
        <f aca="false">(C46-D46)*((1-N46)*R46+N46*O46*Neig_Neu)*L46/C46</f>
        <v>0.577675</v>
      </c>
      <c r="T46" s="30" t="n">
        <f aca="false">IF(Anlagen!W46&lt;&gt;"",Anlagen!W46,IF(Quote_Modus=2,Quote_fest,IF(Szenario=2,S46,M46)))</f>
        <v>0.571642857142857</v>
      </c>
      <c r="U46" s="23" t="str">
        <f aca="false">IF(Anlagen!W46&lt;&gt;"","manuell",IF(Quote_Modus=2,"fest",IF(Szenario=2,"Alter, in 5 J.","Alter, heute")))</f>
        <v>Alter, heute</v>
      </c>
      <c r="V46" s="31" t="n">
        <f aca="false">C46*T46</f>
        <v>28.5821428571429</v>
      </c>
    </row>
    <row r="47" customFormat="false" ht="15" hidden="false" customHeight="false" outlineLevel="0" collapsed="false">
      <c r="A47" s="23" t="n">
        <f aca="false">Anlagen!A47</f>
        <v>43</v>
      </c>
      <c r="B47" s="23" t="str">
        <f aca="false">Anlagen!B47</f>
        <v>Grüner Kranz</v>
      </c>
      <c r="C47" s="23" t="n">
        <f aca="false">Anlagen!F47</f>
        <v>70</v>
      </c>
      <c r="D47" s="23" t="n">
        <f aca="false">Anlagen!G47</f>
        <v>2</v>
      </c>
      <c r="E47" s="30" t="n">
        <f aca="false">D47/C47</f>
        <v>0.0285714285714286</v>
      </c>
      <c r="F47" s="30" t="n">
        <f aca="false">Anlagen!I47/MAX(0.0001,SUM(Anlagen!I47:M47))</f>
        <v>0.0604026845637584</v>
      </c>
      <c r="G47" s="30" t="n">
        <f aca="false">Anlagen!J47/MAX(0.0001,SUM(Anlagen!I47:M47))</f>
        <v>0.373154362416107</v>
      </c>
      <c r="H47" s="30" t="n">
        <f aca="false">Anlagen!K47/MAX(0.0001,SUM(Anlagen!I47:M47))</f>
        <v>0.404026845637584</v>
      </c>
      <c r="I47" s="30" t="n">
        <f aca="false">Anlagen!L47/MAX(0.0001,SUM(Anlagen!I47:M47))</f>
        <v>0.16241610738255</v>
      </c>
      <c r="J47" s="30" t="n">
        <f aca="false">Anlagen!M47/MAX(0.0001,SUM(Anlagen!I47:M47))</f>
        <v>0</v>
      </c>
      <c r="K47" s="30" t="n">
        <f aca="false">F47*Neig_1+G47*Neig_2+H47*Neig_3+I47*Neig_4+J47*Neig_5</f>
        <v>0.62744966442953</v>
      </c>
      <c r="L47" s="30" t="n">
        <f aca="false">IF(LEFT(Anlagen!D47,1)="A",Stufe_A,IF(LEFT(Anlagen!D47,1)="B",Stufe_B,IF(LEFT(Anlagen!D47,1)="C",Stufe_C,Stufe_D)))</f>
        <v>1</v>
      </c>
      <c r="M47" s="30" t="n">
        <f aca="false">K47*(1-E47)*L47</f>
        <v>0.609522531160115</v>
      </c>
      <c r="N47" s="30" t="n">
        <f aca="false">F47*Abg_1+G47*Abg_2+H47*Abg_3+I47*Abg_4+J47*Abg_5</f>
        <v>0.110805369127517</v>
      </c>
      <c r="O47" s="30" t="n">
        <f aca="false">MAX(0,MIN(1,Nachbes-E47*Nachbes_Leer))</f>
        <v>0.642857142857143</v>
      </c>
      <c r="P47" s="31" t="n">
        <f aca="false">D47+(C47-D47)*N47*(1-O47)</f>
        <v>4.69098753595398</v>
      </c>
      <c r="Q47" s="30" t="n">
        <f aca="false">P47/C47</f>
        <v>0.0670141076564854</v>
      </c>
      <c r="R47" s="30" t="n">
        <f aca="false">(F47*(1-Abg_1)*Neig_1+G47*(1-Abg_2)*Neig_2+H47*(1-Abg_3)*Neig_3+I47*(1-Abg_4)*Neig_4+J47*(1-Abg_5)*Neig_5)/MAX(0.0001,1-N47)</f>
        <v>0.64074269756208</v>
      </c>
      <c r="S47" s="30" t="n">
        <f aca="false">(C47-D47)*((1-N47)*R47+N47*O47*Neig_Neu)*L47/C47</f>
        <v>0.605364155595124</v>
      </c>
      <c r="T47" s="30" t="n">
        <f aca="false">IF(Anlagen!W47&lt;&gt;"",Anlagen!W47,IF(Quote_Modus=2,Quote_fest,IF(Szenario=2,S47,M47)))</f>
        <v>0.609522531160115</v>
      </c>
      <c r="U47" s="23" t="str">
        <f aca="false">IF(Anlagen!W47&lt;&gt;"","manuell",IF(Quote_Modus=2,"fest",IF(Szenario=2,"Alter, in 5 J.","Alter, heute")))</f>
        <v>Alter, heute</v>
      </c>
      <c r="V47" s="31" t="n">
        <f aca="false">C47*T47</f>
        <v>42.6665771812081</v>
      </c>
    </row>
    <row r="48" customFormat="false" ht="15" hidden="false" customHeight="false" outlineLevel="0" collapsed="false">
      <c r="A48" s="23" t="n">
        <f aca="false">Anlagen!A48</f>
        <v>44</v>
      </c>
      <c r="B48" s="23" t="str">
        <f aca="false">Anlagen!B48</f>
        <v>Grünes Heim</v>
      </c>
      <c r="C48" s="23" t="n">
        <f aca="false">Anlagen!F48</f>
        <v>23</v>
      </c>
      <c r="D48" s="23" t="n">
        <f aca="false">Anlagen!G48</f>
        <v>1</v>
      </c>
      <c r="E48" s="30" t="n">
        <f aca="false">D48/C48</f>
        <v>0.0434782608695652</v>
      </c>
      <c r="F48" s="30" t="n">
        <f aca="false">Anlagen!I48/MAX(0.0001,SUM(Anlagen!I48:M48))</f>
        <v>0.0187793427230047</v>
      </c>
      <c r="G48" s="30" t="n">
        <f aca="false">Anlagen!J48/MAX(0.0001,SUM(Anlagen!I48:M48))</f>
        <v>0.488262910798122</v>
      </c>
      <c r="H48" s="30" t="n">
        <f aca="false">Anlagen!K48/MAX(0.0001,SUM(Anlagen!I48:M48))</f>
        <v>0.488262910798122</v>
      </c>
      <c r="I48" s="30" t="n">
        <f aca="false">Anlagen!L48/MAX(0.0001,SUM(Anlagen!I48:M48))</f>
        <v>0.00469483568075117</v>
      </c>
      <c r="J48" s="30" t="n">
        <f aca="false">Anlagen!M48/MAX(0.0001,SUM(Anlagen!I48:M48))</f>
        <v>0</v>
      </c>
      <c r="K48" s="30" t="n">
        <f aca="false">F48*Neig_1+G48*Neig_2+H48*Neig_3+I48*Neig_4+J48*Neig_5</f>
        <v>0.675821596244132</v>
      </c>
      <c r="L48" s="30" t="n">
        <f aca="false">IF(LEFT(Anlagen!D48,1)="A",Stufe_A,IF(LEFT(Anlagen!D48,1)="B",Stufe_B,IF(LEFT(Anlagen!D48,1)="C",Stufe_C,Stufe_D)))</f>
        <v>1</v>
      </c>
      <c r="M48" s="30" t="n">
        <f aca="false">K48*(1-E48)*L48</f>
        <v>0.646438048581343</v>
      </c>
      <c r="N48" s="30" t="n">
        <f aca="false">F48*Abg_1+G48*Abg_2+H48*Abg_3+I48*Abg_4+J48*Abg_5</f>
        <v>0.0755868544600939</v>
      </c>
      <c r="O48" s="30" t="n">
        <f aca="false">MAX(0,MIN(1,Nachbes-E48*Nachbes_Leer))</f>
        <v>0.61304347826087</v>
      </c>
      <c r="P48" s="31" t="n">
        <f aca="false">D48+(C48-D48)*N48*(1-O48)</f>
        <v>1.64347417840376</v>
      </c>
      <c r="Q48" s="30" t="n">
        <f aca="false">P48/C48</f>
        <v>0.0714553990610329</v>
      </c>
      <c r="R48" s="30" t="n">
        <f aca="false">(F48*(1-Abg_1)*Neig_1+G48*(1-Abg_2)*Neig_2+H48*(1-Abg_3)*Neig_3+I48*(1-Abg_4)*Neig_4+J48*(1-Abg_5)*Neig_5)/MAX(0.0001,1-N48)</f>
        <v>0.678237684103606</v>
      </c>
      <c r="S48" s="30" t="n">
        <f aca="false">(C48-D48)*((1-N48)*R48+N48*O48*Neig_Neu)*L48/C48</f>
        <v>0.632954684629516</v>
      </c>
      <c r="T48" s="30" t="n">
        <f aca="false">IF(Anlagen!W48&lt;&gt;"",Anlagen!W48,IF(Quote_Modus=2,Quote_fest,IF(Szenario=2,S48,M48)))</f>
        <v>0.646438048581343</v>
      </c>
      <c r="U48" s="23" t="str">
        <f aca="false">IF(Anlagen!W48&lt;&gt;"","manuell",IF(Quote_Modus=2,"fest",IF(Szenario=2,"Alter, in 5 J.","Alter, heute")))</f>
        <v>Alter, heute</v>
      </c>
      <c r="V48" s="31" t="n">
        <f aca="false">C48*T48</f>
        <v>14.8680751173709</v>
      </c>
    </row>
    <row r="49" customFormat="false" ht="15" hidden="false" customHeight="false" outlineLevel="0" collapsed="false">
      <c r="A49" s="23" t="n">
        <f aca="false">Anlagen!A49</f>
        <v>45</v>
      </c>
      <c r="B49" s="23" t="str">
        <f aca="false">Anlagen!B49</f>
        <v>Gut Wetter</v>
      </c>
      <c r="C49" s="23" t="n">
        <f aca="false">Anlagen!F49</f>
        <v>17</v>
      </c>
      <c r="D49" s="23" t="n">
        <f aca="false">Anlagen!G49</f>
        <v>0</v>
      </c>
      <c r="E49" s="30" t="n">
        <f aca="false">D49/C49</f>
        <v>0</v>
      </c>
      <c r="F49" s="30" t="n">
        <f aca="false">Anlagen!I49/MAX(0.0001,SUM(Anlagen!I49:M49))</f>
        <v>0</v>
      </c>
      <c r="G49" s="30" t="n">
        <f aca="false">Anlagen!J49/MAX(0.0001,SUM(Anlagen!I49:M49))</f>
        <v>0.309677419354839</v>
      </c>
      <c r="H49" s="30" t="n">
        <f aca="false">Anlagen!K49/MAX(0.0001,SUM(Anlagen!I49:M49))</f>
        <v>0.432258064516129</v>
      </c>
      <c r="I49" s="30" t="n">
        <f aca="false">Anlagen!L49/MAX(0.0001,SUM(Anlagen!I49:M49))</f>
        <v>0.258064516129032</v>
      </c>
      <c r="J49" s="30" t="n">
        <f aca="false">Anlagen!M49/MAX(0.0001,SUM(Anlagen!I49:M49))</f>
        <v>0</v>
      </c>
      <c r="K49" s="30" t="n">
        <f aca="false">F49*Neig_1+G49*Neig_2+H49*Neig_3+I49*Neig_4+J49*Neig_5</f>
        <v>0.581935483870968</v>
      </c>
      <c r="L49" s="30" t="n">
        <f aca="false">IF(LEFT(Anlagen!D49,1)="A",Stufe_A,IF(LEFT(Anlagen!D49,1)="B",Stufe_B,IF(LEFT(Anlagen!D49,1)="C",Stufe_C,Stufe_D)))</f>
        <v>1</v>
      </c>
      <c r="M49" s="30" t="n">
        <f aca="false">K49*(1-E49)*L49</f>
        <v>0.581935483870968</v>
      </c>
      <c r="N49" s="30" t="n">
        <f aca="false">F49*Abg_1+G49*Abg_2+H49*Abg_3+I49*Abg_4+J49*Abg_5</f>
        <v>0.136129032258065</v>
      </c>
      <c r="O49" s="30" t="n">
        <f aca="false">MAX(0,MIN(1,Nachbes-E49*Nachbes_Leer))</f>
        <v>0.7</v>
      </c>
      <c r="P49" s="31" t="n">
        <f aca="false">D49+(C49-D49)*N49*(1-O49)</f>
        <v>0.694258064516129</v>
      </c>
      <c r="Q49" s="30" t="n">
        <f aca="false">P49/C49</f>
        <v>0.0408387096774194</v>
      </c>
      <c r="R49" s="30" t="n">
        <f aca="false">(F49*(1-Abg_1)*Neig_1+G49*(1-Abg_2)*Neig_2+H49*(1-Abg_3)*Neig_3+I49*(1-Abg_4)*Neig_4+J49*(1-Abg_5)*Neig_5)/MAX(0.0001,1-N49)</f>
        <v>0.598805078416729</v>
      </c>
      <c r="S49" s="30" t="n">
        <f aca="false">(C49-D49)*((1-N49)*R49+N49*O49*Neig_Neu)*L49/C49</f>
        <v>0.588758064516129</v>
      </c>
      <c r="T49" s="30" t="n">
        <f aca="false">IF(Anlagen!W49&lt;&gt;"",Anlagen!W49,IF(Quote_Modus=2,Quote_fest,IF(Szenario=2,S49,M49)))</f>
        <v>0.581935483870968</v>
      </c>
      <c r="U49" s="23" t="str">
        <f aca="false">IF(Anlagen!W49&lt;&gt;"","manuell",IF(Quote_Modus=2,"fest",IF(Szenario=2,"Alter, in 5 J.","Alter, heute")))</f>
        <v>Alter, heute</v>
      </c>
      <c r="V49" s="31" t="n">
        <f aca="false">C49*T49</f>
        <v>9.89290322580645</v>
      </c>
    </row>
    <row r="50" customFormat="false" ht="15" hidden="false" customHeight="false" outlineLevel="0" collapsed="false">
      <c r="A50" s="23" t="n">
        <f aca="false">Anlagen!A50</f>
        <v>46</v>
      </c>
      <c r="B50" s="23" t="str">
        <f aca="false">Anlagen!B50</f>
        <v>Handwerker</v>
      </c>
      <c r="C50" s="23" t="n">
        <f aca="false">Anlagen!F50</f>
        <v>36</v>
      </c>
      <c r="D50" s="23" t="n">
        <f aca="false">Anlagen!G50</f>
        <v>1</v>
      </c>
      <c r="E50" s="30" t="n">
        <f aca="false">D50/C50</f>
        <v>0.0277777777777778</v>
      </c>
      <c r="F50" s="30" t="n">
        <f aca="false">Anlagen!I50/MAX(0.0001,SUM(Anlagen!I50:M50))</f>
        <v>0.0521042084168337</v>
      </c>
      <c r="G50" s="30" t="n">
        <f aca="false">Anlagen!J50/MAX(0.0001,SUM(Anlagen!I50:M50))</f>
        <v>0.306613226452906</v>
      </c>
      <c r="H50" s="30" t="n">
        <f aca="false">Anlagen!K50/MAX(0.0001,SUM(Anlagen!I50:M50))</f>
        <v>0.400801603206413</v>
      </c>
      <c r="I50" s="30" t="n">
        <f aca="false">Anlagen!L50/MAX(0.0001,SUM(Anlagen!I50:M50))</f>
        <v>0.240480961923848</v>
      </c>
      <c r="J50" s="30" t="n">
        <f aca="false">Anlagen!M50/MAX(0.0001,SUM(Anlagen!I50:M50))</f>
        <v>0</v>
      </c>
      <c r="K50" s="30" t="n">
        <f aca="false">F50*Neig_1+G50*Neig_2+H50*Neig_3+I50*Neig_4+J50*Neig_5</f>
        <v>0.596292585170341</v>
      </c>
      <c r="L50" s="30" t="n">
        <f aca="false">IF(LEFT(Anlagen!D50,1)="A",Stufe_A,IF(LEFT(Anlagen!D50,1)="B",Stufe_B,IF(LEFT(Anlagen!D50,1)="C",Stufe_C,Stufe_D)))</f>
        <v>0.9</v>
      </c>
      <c r="M50" s="30" t="n">
        <f aca="false">K50*(1-E50)*L50</f>
        <v>0.521756012024048</v>
      </c>
      <c r="N50" s="30" t="n">
        <f aca="false">F50*Abg_1+G50*Abg_2+H50*Abg_3+I50*Abg_4+J50*Abg_5</f>
        <v>0.130160320641283</v>
      </c>
      <c r="O50" s="30" t="n">
        <f aca="false">MAX(0,MIN(1,Nachbes-E50*Nachbes_Leer))</f>
        <v>0.644444444444444</v>
      </c>
      <c r="P50" s="31" t="n">
        <f aca="false">D50+(C50-D50)*N50*(1-O50)</f>
        <v>2.61977287909152</v>
      </c>
      <c r="Q50" s="30" t="n">
        <f aca="false">P50/C50</f>
        <v>0.0727714688636532</v>
      </c>
      <c r="R50" s="30" t="n">
        <f aca="false">(F50*(1-Abg_1)*Neig_1+G50*(1-Abg_2)*Neig_2+H50*(1-Abg_3)*Neig_3+I50*(1-Abg_4)*Neig_4+J50*(1-Abg_5)*Neig_5)/MAX(0.0001,1-N50)</f>
        <v>0.613230042621818</v>
      </c>
      <c r="S50" s="30" t="n">
        <f aca="false">(C50-D50)*((1-N50)*R50+N50*O50*Neig_Neu)*L50/C50</f>
        <v>0.521782314629258</v>
      </c>
      <c r="T50" s="30" t="n">
        <f aca="false">IF(Anlagen!W50&lt;&gt;"",Anlagen!W50,IF(Quote_Modus=2,Quote_fest,IF(Szenario=2,S50,M50)))</f>
        <v>0.521756012024048</v>
      </c>
      <c r="U50" s="23" t="str">
        <f aca="false">IF(Anlagen!W50&lt;&gt;"","manuell",IF(Quote_Modus=2,"fest",IF(Szenario=2,"Alter, in 5 J.","Alter, heute")))</f>
        <v>Alter, heute</v>
      </c>
      <c r="V50" s="31" t="n">
        <f aca="false">C50*T50</f>
        <v>18.7832164328657</v>
      </c>
    </row>
    <row r="51" customFormat="false" ht="15" hidden="false" customHeight="false" outlineLevel="0" collapsed="false">
      <c r="A51" s="23" t="n">
        <f aca="false">Anlagen!A51</f>
        <v>47</v>
      </c>
      <c r="B51" s="23" t="str">
        <f aca="false">Anlagen!B51</f>
        <v>Harmonie</v>
      </c>
      <c r="C51" s="23" t="n">
        <f aca="false">Anlagen!F51</f>
        <v>60</v>
      </c>
      <c r="D51" s="23" t="n">
        <f aca="false">Anlagen!G51</f>
        <v>20</v>
      </c>
      <c r="E51" s="30" t="n">
        <f aca="false">D51/C51</f>
        <v>0.333333333333333</v>
      </c>
      <c r="F51" s="30" t="n">
        <f aca="false">Anlagen!I51/MAX(0.0001,SUM(Anlagen!I51:M51))</f>
        <v>0.0477326968973747</v>
      </c>
      <c r="G51" s="30" t="n">
        <f aca="false">Anlagen!J51/MAX(0.0001,SUM(Anlagen!I51:M51))</f>
        <v>0.248210023866348</v>
      </c>
      <c r="H51" s="30" t="n">
        <f aca="false">Anlagen!K51/MAX(0.0001,SUM(Anlagen!I51:M51))</f>
        <v>0.417661097852029</v>
      </c>
      <c r="I51" s="30" t="n">
        <f aca="false">Anlagen!L51/MAX(0.0001,SUM(Anlagen!I51:M51))</f>
        <v>0.286396181384248</v>
      </c>
      <c r="J51" s="30" t="n">
        <f aca="false">Anlagen!M51/MAX(0.0001,SUM(Anlagen!I51:M51))</f>
        <v>0</v>
      </c>
      <c r="K51" s="30" t="n">
        <f aca="false">F51*Neig_1+G51*Neig_2+H51*Neig_3+I51*Neig_4+J51*Neig_5</f>
        <v>0.575178997613365</v>
      </c>
      <c r="L51" s="30" t="n">
        <f aca="false">IF(LEFT(Anlagen!D51,1)="A",Stufe_A,IF(LEFT(Anlagen!D51,1)="B",Stufe_B,IF(LEFT(Anlagen!D51,1)="C",Stufe_C,Stufe_D)))</f>
        <v>0.75</v>
      </c>
      <c r="M51" s="30" t="n">
        <f aca="false">K51*(1-E51)*L51</f>
        <v>0.287589498806683</v>
      </c>
      <c r="N51" s="30" t="n">
        <f aca="false">F51*Abg_1+G51*Abg_2+H51*Abg_3+I51*Abg_4+J51*Abg_5</f>
        <v>0.142482100238663</v>
      </c>
      <c r="O51" s="30" t="n">
        <f aca="false">MAX(0,MIN(1,Nachbes-E51*Nachbes_Leer))</f>
        <v>0.0333333333333333</v>
      </c>
      <c r="P51" s="31" t="n">
        <f aca="false">D51+(C51-D51)*N51*(1-O51)</f>
        <v>25.509307875895</v>
      </c>
      <c r="Q51" s="30" t="n">
        <f aca="false">P51/C51</f>
        <v>0.425155131264917</v>
      </c>
      <c r="R51" s="30" t="n">
        <f aca="false">(F51*(1-Abg_1)*Neig_1+G51*(1-Abg_2)*Neig_2+H51*(1-Abg_3)*Neig_3+I51*(1-Abg_4)*Neig_4+J51*(1-Abg_5)*Neig_5)/MAX(0.0001,1-N51)</f>
        <v>0.593376008906207</v>
      </c>
      <c r="S51" s="30" t="n">
        <f aca="false">(C51-D51)*((1-N51)*R51+N51*O51*Neig_Neu)*L51/C51</f>
        <v>0.256196300715991</v>
      </c>
      <c r="T51" s="30" t="n">
        <f aca="false">IF(Anlagen!W51&lt;&gt;"",Anlagen!W51,IF(Quote_Modus=2,Quote_fest,IF(Szenario=2,S51,M51)))</f>
        <v>0.287589498806683</v>
      </c>
      <c r="U51" s="23" t="str">
        <f aca="false">IF(Anlagen!W51&lt;&gt;"","manuell",IF(Quote_Modus=2,"fest",IF(Szenario=2,"Alter, in 5 J.","Alter, heute")))</f>
        <v>Alter, heute</v>
      </c>
      <c r="V51" s="31" t="n">
        <f aca="false">C51*T51</f>
        <v>17.255369928401</v>
      </c>
    </row>
    <row r="52" customFormat="false" ht="15" hidden="false" customHeight="false" outlineLevel="0" collapsed="false">
      <c r="A52" s="23" t="n">
        <f aca="false">Anlagen!A52</f>
        <v>48</v>
      </c>
      <c r="B52" s="23" t="str">
        <f aca="false">Anlagen!B52</f>
        <v>Heidekrug</v>
      </c>
      <c r="C52" s="23" t="n">
        <f aca="false">Anlagen!F52</f>
        <v>34</v>
      </c>
      <c r="D52" s="23" t="n">
        <f aca="false">Anlagen!G52</f>
        <v>0</v>
      </c>
      <c r="E52" s="30" t="n">
        <f aca="false">D52/C52</f>
        <v>0</v>
      </c>
      <c r="F52" s="30" t="n">
        <f aca="false">Anlagen!I52/MAX(0.0001,SUM(Anlagen!I52:M52))</f>
        <v>0.0458515283842795</v>
      </c>
      <c r="G52" s="30" t="n">
        <f aca="false">Anlagen!J52/MAX(0.0001,SUM(Anlagen!I52:M52))</f>
        <v>0.146288209606987</v>
      </c>
      <c r="H52" s="30" t="n">
        <f aca="false">Anlagen!K52/MAX(0.0001,SUM(Anlagen!I52:M52))</f>
        <v>0.54585152838428</v>
      </c>
      <c r="I52" s="30" t="n">
        <f aca="false">Anlagen!L52/MAX(0.0001,SUM(Anlagen!I52:M52))</f>
        <v>0.262008733624454</v>
      </c>
      <c r="J52" s="30" t="n">
        <f aca="false">Anlagen!M52/MAX(0.0001,SUM(Anlagen!I52:M52))</f>
        <v>0</v>
      </c>
      <c r="K52" s="30" t="n">
        <f aca="false">F52*Neig_1+G52*Neig_2+H52*Neig_3+I52*Neig_4+J52*Neig_5</f>
        <v>0.56561135371179</v>
      </c>
      <c r="L52" s="30" t="n">
        <f aca="false">IF(LEFT(Anlagen!D52,1)="A",Stufe_A,IF(LEFT(Anlagen!D52,1)="B",Stufe_B,IF(LEFT(Anlagen!D52,1)="C",Stufe_C,Stufe_D)))</f>
        <v>1</v>
      </c>
      <c r="M52" s="30" t="n">
        <f aca="false">K52*(1-E52)*L52</f>
        <v>0.56561135371179</v>
      </c>
      <c r="N52" s="30" t="n">
        <f aca="false">F52*Abg_1+G52*Abg_2+H52*Abg_3+I52*Abg_4+J52*Abg_5</f>
        <v>0.142794759825328</v>
      </c>
      <c r="O52" s="30" t="n">
        <f aca="false">MAX(0,MIN(1,Nachbes-E52*Nachbes_Leer))</f>
        <v>0.7</v>
      </c>
      <c r="P52" s="31" t="n">
        <f aca="false">D52+(C52-D52)*N52*(1-O52)</f>
        <v>1.45650655021834</v>
      </c>
      <c r="Q52" s="30" t="n">
        <f aca="false">P52/C52</f>
        <v>0.0428384279475983</v>
      </c>
      <c r="R52" s="30" t="n">
        <f aca="false">(F52*(1-Abg_1)*Neig_1+G52*(1-Abg_2)*Neig_2+H52*(1-Abg_3)*Neig_3+I52*(1-Abg_4)*Neig_4+J52*(1-Abg_5)*Neig_5)/MAX(0.0001,1-N52)</f>
        <v>0.580992103922568</v>
      </c>
      <c r="S52" s="30" t="n">
        <f aca="false">(C52-D52)*((1-N52)*R52+N52*O52*Neig_Neu)*L52/C52</f>
        <v>0.57299672489083</v>
      </c>
      <c r="T52" s="30" t="n">
        <f aca="false">IF(Anlagen!W52&lt;&gt;"",Anlagen!W52,IF(Quote_Modus=2,Quote_fest,IF(Szenario=2,S52,M52)))</f>
        <v>0.56561135371179</v>
      </c>
      <c r="U52" s="23" t="str">
        <f aca="false">IF(Anlagen!W52&lt;&gt;"","manuell",IF(Quote_Modus=2,"fest",IF(Szenario=2,"Alter, in 5 J.","Alter, heute")))</f>
        <v>Alter, heute</v>
      </c>
      <c r="V52" s="31" t="n">
        <f aca="false">C52*T52</f>
        <v>19.2307860262009</v>
      </c>
    </row>
    <row r="53" customFormat="false" ht="15" hidden="false" customHeight="false" outlineLevel="0" collapsed="false">
      <c r="A53" s="23" t="n">
        <f aca="false">Anlagen!A53</f>
        <v>49</v>
      </c>
      <c r="B53" s="23" t="str">
        <f aca="false">Anlagen!B53</f>
        <v>Helgoland</v>
      </c>
      <c r="C53" s="23" t="n">
        <f aca="false">Anlagen!F53</f>
        <v>110</v>
      </c>
      <c r="D53" s="23" t="n">
        <f aca="false">Anlagen!G53</f>
        <v>6</v>
      </c>
      <c r="E53" s="30" t="n">
        <f aca="false">D53/C53</f>
        <v>0.0545454545454545</v>
      </c>
      <c r="F53" s="30" t="n">
        <f aca="false">Anlagen!I53/MAX(0.0001,SUM(Anlagen!I53:M53))</f>
        <v>0</v>
      </c>
      <c r="G53" s="30" t="n">
        <f aca="false">Anlagen!J53/MAX(0.0001,SUM(Anlagen!I53:M53))</f>
        <v>0.484819734345351</v>
      </c>
      <c r="H53" s="30" t="n">
        <f aca="false">Anlagen!K53/MAX(0.0001,SUM(Anlagen!I53:M53))</f>
        <v>0.370018975332068</v>
      </c>
      <c r="I53" s="30" t="n">
        <f aca="false">Anlagen!L53/MAX(0.0001,SUM(Anlagen!I53:M53))</f>
        <v>0.145161290322581</v>
      </c>
      <c r="J53" s="30" t="n">
        <f aca="false">Anlagen!M53/MAX(0.0001,SUM(Anlagen!I53:M53))</f>
        <v>0</v>
      </c>
      <c r="K53" s="30" t="n">
        <f aca="false">F53*Neig_1+G53*Neig_2+H53*Neig_3+I53*Neig_4+J53*Neig_5</f>
        <v>0.636432637571158</v>
      </c>
      <c r="L53" s="30" t="n">
        <f aca="false">IF(LEFT(Anlagen!D53,1)="A",Stufe_A,IF(LEFT(Anlagen!D53,1)="B",Stufe_B,IF(LEFT(Anlagen!D53,1)="C",Stufe_C,Stufe_D)))</f>
        <v>1</v>
      </c>
      <c r="M53" s="30" t="n">
        <f aca="false">K53*(1-E53)*L53</f>
        <v>0.601718130067276</v>
      </c>
      <c r="N53" s="30" t="n">
        <f aca="false">F53*Abg_1+G53*Abg_2+H53*Abg_3+I53*Abg_4+J53*Abg_5</f>
        <v>0.104791271347249</v>
      </c>
      <c r="O53" s="30" t="n">
        <f aca="false">MAX(0,MIN(1,Nachbes-E53*Nachbes_Leer))</f>
        <v>0.590909090909091</v>
      </c>
      <c r="P53" s="31" t="n">
        <f aca="false">D53+(C53-D53)*N53*(1-O53)</f>
        <v>10.4583922718648</v>
      </c>
      <c r="Q53" s="30" t="n">
        <f aca="false">P53/C53</f>
        <v>0.0950762933805887</v>
      </c>
      <c r="R53" s="30" t="n">
        <f aca="false">(F53*(1-Abg_1)*Neig_1+G53*(1-Abg_2)*Neig_2+H53*(1-Abg_3)*Neig_3+I53*(1-Abg_4)*Neig_4+J53*(1-Abg_5)*Neig_5)/MAX(0.0001,1-N53)</f>
        <v>0.64879709607334</v>
      </c>
      <c r="S53" s="30" t="n">
        <f aca="false">(C53-D53)*((1-N53)*R53+N53*O53*Neig_Neu)*L53/C53</f>
        <v>0.593036750984051</v>
      </c>
      <c r="T53" s="30" t="n">
        <f aca="false">IF(Anlagen!W53&lt;&gt;"",Anlagen!W53,IF(Quote_Modus=2,Quote_fest,IF(Szenario=2,S53,M53)))</f>
        <v>0.601718130067276</v>
      </c>
      <c r="U53" s="23" t="str">
        <f aca="false">IF(Anlagen!W53&lt;&gt;"","manuell",IF(Quote_Modus=2,"fest",IF(Szenario=2,"Alter, in 5 J.","Alter, heute")))</f>
        <v>Alter, heute</v>
      </c>
      <c r="V53" s="31" t="n">
        <f aca="false">C53*T53</f>
        <v>66.1889943074004</v>
      </c>
    </row>
    <row r="54" customFormat="false" ht="15" hidden="false" customHeight="false" outlineLevel="0" collapsed="false">
      <c r="A54" s="23" t="n">
        <f aca="false">Anlagen!A54</f>
        <v>50</v>
      </c>
      <c r="B54" s="23" t="str">
        <f aca="false">Anlagen!B54</f>
        <v>Hoffnung</v>
      </c>
      <c r="C54" s="23" t="n">
        <f aca="false">Anlagen!F54</f>
        <v>7</v>
      </c>
      <c r="D54" s="23" t="n">
        <f aca="false">Anlagen!G54</f>
        <v>1</v>
      </c>
      <c r="E54" s="30" t="n">
        <f aca="false">D54/C54</f>
        <v>0.142857142857143</v>
      </c>
      <c r="F54" s="30" t="n">
        <f aca="false">Anlagen!I54/MAX(0.0001,SUM(Anlagen!I54:M54))</f>
        <v>0</v>
      </c>
      <c r="G54" s="30" t="n">
        <f aca="false">Anlagen!J54/MAX(0.0001,SUM(Anlagen!I54:M54))</f>
        <v>0.551724137931035</v>
      </c>
      <c r="H54" s="30" t="n">
        <f aca="false">Anlagen!K54/MAX(0.0001,SUM(Anlagen!I54:M54))</f>
        <v>0.206896551724138</v>
      </c>
      <c r="I54" s="30" t="n">
        <f aca="false">Anlagen!L54/MAX(0.0001,SUM(Anlagen!I54:M54))</f>
        <v>0.241379310344828</v>
      </c>
      <c r="J54" s="30" t="n">
        <f aca="false">Anlagen!M54/MAX(0.0001,SUM(Anlagen!I54:M54))</f>
        <v>0</v>
      </c>
      <c r="K54" s="30" t="n">
        <f aca="false">F54*Neig_1+G54*Neig_2+H54*Neig_3+I54*Neig_4+J54*Neig_5</f>
        <v>0.622413793103448</v>
      </c>
      <c r="L54" s="30" t="n">
        <f aca="false">IF(LEFT(Anlagen!D54,1)="A",Stufe_A,IF(LEFT(Anlagen!D54,1)="B",Stufe_B,IF(LEFT(Anlagen!D54,1)="C",Stufe_C,Stufe_D)))</f>
        <v>1</v>
      </c>
      <c r="M54" s="30" t="n">
        <f aca="false">K54*(1-E54)*L54</f>
        <v>0.533497536945813</v>
      </c>
      <c r="N54" s="30" t="n">
        <f aca="false">F54*Abg_1+G54*Abg_2+H54*Abg_3+I54*Abg_4+J54*Abg_5</f>
        <v>0.120689655172414</v>
      </c>
      <c r="O54" s="30" t="n">
        <f aca="false">MAX(0,MIN(1,Nachbes-E54*Nachbes_Leer))</f>
        <v>0.414285714285714</v>
      </c>
      <c r="P54" s="31" t="n">
        <f aca="false">D54+(C54-D54)*N54*(1-O54)</f>
        <v>1.42413793103448</v>
      </c>
      <c r="Q54" s="30" t="n">
        <f aca="false">P54/C54</f>
        <v>0.203448275862069</v>
      </c>
      <c r="R54" s="30" t="n">
        <f aca="false">(F54*(1-Abg_1)*Neig_1+G54*(1-Abg_2)*Neig_2+H54*(1-Abg_3)*Neig_3+I54*(1-Abg_4)*Neig_4+J54*(1-Abg_5)*Neig_5)/MAX(0.0001,1-N54)</f>
        <v>0.641372549019608</v>
      </c>
      <c r="S54" s="30" t="n">
        <f aca="false">(C54-D54)*((1-N54)*R54+N54*O54*Neig_Neu)*L54/C54</f>
        <v>0.515541871921182</v>
      </c>
      <c r="T54" s="30" t="n">
        <f aca="false">IF(Anlagen!W54&lt;&gt;"",Anlagen!W54,IF(Quote_Modus=2,Quote_fest,IF(Szenario=2,S54,M54)))</f>
        <v>0.533497536945813</v>
      </c>
      <c r="U54" s="23" t="str">
        <f aca="false">IF(Anlagen!W54&lt;&gt;"","manuell",IF(Quote_Modus=2,"fest",IF(Szenario=2,"Alter, in 5 J.","Alter, heute")))</f>
        <v>Alter, heute</v>
      </c>
      <c r="V54" s="31" t="n">
        <f aca="false">C54*T54</f>
        <v>3.73448275862069</v>
      </c>
    </row>
    <row r="55" customFormat="false" ht="15" hidden="false" customHeight="false" outlineLevel="0" collapsed="false">
      <c r="A55" s="23" t="n">
        <f aca="false">Anlagen!A55</f>
        <v>51</v>
      </c>
      <c r="B55" s="23" t="str">
        <f aca="false">Anlagen!B55</f>
        <v>Holland</v>
      </c>
      <c r="C55" s="23" t="n">
        <f aca="false">Anlagen!F55</f>
        <v>9</v>
      </c>
      <c r="D55" s="23" t="n">
        <f aca="false">Anlagen!G55</f>
        <v>1</v>
      </c>
      <c r="E55" s="30" t="n">
        <f aca="false">D55/C55</f>
        <v>0.111111111111111</v>
      </c>
      <c r="F55" s="30" t="n">
        <f aca="false">Anlagen!I55/MAX(0.0001,SUM(Anlagen!I55:M55))</f>
        <v>0</v>
      </c>
      <c r="G55" s="30" t="n">
        <f aca="false">Anlagen!J55/MAX(0.0001,SUM(Anlagen!I55:M55))</f>
        <v>0.651515151515152</v>
      </c>
      <c r="H55" s="30" t="n">
        <f aca="false">Anlagen!K55/MAX(0.0001,SUM(Anlagen!I55:M55))</f>
        <v>0.348484848484848</v>
      </c>
      <c r="I55" s="30" t="n">
        <f aca="false">Anlagen!L55/MAX(0.0001,SUM(Anlagen!I55:M55))</f>
        <v>0</v>
      </c>
      <c r="J55" s="30" t="n">
        <f aca="false">Anlagen!M55/MAX(0.0001,SUM(Anlagen!I55:M55))</f>
        <v>0</v>
      </c>
      <c r="K55" s="30" t="n">
        <f aca="false">F55*Neig_1+G55*Neig_2+H55*Neig_3+I55*Neig_4+J55*Neig_5</f>
        <v>0.697727272727273</v>
      </c>
      <c r="L55" s="30" t="n">
        <f aca="false">IF(LEFT(Anlagen!D55,1)="A",Stufe_A,IF(LEFT(Anlagen!D55,1)="B",Stufe_B,IF(LEFT(Anlagen!D55,1)="C",Stufe_C,Stufe_D)))</f>
        <v>1</v>
      </c>
      <c r="M55" s="30" t="n">
        <f aca="false">K55*(1-E55)*L55</f>
        <v>0.62020202020202</v>
      </c>
      <c r="N55" s="30" t="n">
        <f aca="false">F55*Abg_1+G55*Abg_2+H55*Abg_3+I55*Abg_4+J55*Abg_5</f>
        <v>0.0674242424242424</v>
      </c>
      <c r="O55" s="30" t="n">
        <f aca="false">MAX(0,MIN(1,Nachbes-E55*Nachbes_Leer))</f>
        <v>0.477777777777778</v>
      </c>
      <c r="P55" s="31" t="n">
        <f aca="false">D55+(C55-D55)*N55*(1-O55)</f>
        <v>1.2816835016835</v>
      </c>
      <c r="Q55" s="30" t="n">
        <f aca="false">P55/C55</f>
        <v>0.142409277964834</v>
      </c>
      <c r="R55" s="30" t="n">
        <f aca="false">(F55*(1-Abg_1)*Neig_1+G55*(1-Abg_2)*Neig_2+H55*(1-Abg_3)*Neig_3+I55*(1-Abg_4)*Neig_4+J55*(1-Abg_5)*Neig_5)/MAX(0.0001,1-N55)</f>
        <v>0.699553208773355</v>
      </c>
      <c r="S55" s="30" t="n">
        <f aca="false">(C55-D55)*((1-N55)*R55+N55*O55*Neig_Neu)*L55/C55</f>
        <v>0.601374859708193</v>
      </c>
      <c r="T55" s="30" t="n">
        <f aca="false">IF(Anlagen!W55&lt;&gt;"",Anlagen!W55,IF(Quote_Modus=2,Quote_fest,IF(Szenario=2,S55,M55)))</f>
        <v>0.62020202020202</v>
      </c>
      <c r="U55" s="23" t="str">
        <f aca="false">IF(Anlagen!W55&lt;&gt;"","manuell",IF(Quote_Modus=2,"fest",IF(Szenario=2,"Alter, in 5 J.","Alter, heute")))</f>
        <v>Alter, heute</v>
      </c>
      <c r="V55" s="31" t="n">
        <f aca="false">C55*T55</f>
        <v>5.58181818181818</v>
      </c>
    </row>
    <row r="56" customFormat="false" ht="15" hidden="false" customHeight="false" outlineLevel="0" collapsed="false">
      <c r="A56" s="23" t="n">
        <f aca="false">Anlagen!A56</f>
        <v>52</v>
      </c>
      <c r="B56" s="23" t="str">
        <f aca="false">Anlagen!B56</f>
        <v>Im Mittelbruch I</v>
      </c>
      <c r="C56" s="23" t="n">
        <f aca="false">Anlagen!F56</f>
        <v>33</v>
      </c>
      <c r="D56" s="23" t="n">
        <f aca="false">Anlagen!G56</f>
        <v>0</v>
      </c>
      <c r="E56" s="30" t="n">
        <f aca="false">D56/C56</f>
        <v>0</v>
      </c>
      <c r="F56" s="30" t="n">
        <f aca="false">Anlagen!I56/MAX(0.0001,SUM(Anlagen!I56:M56))</f>
        <v>0</v>
      </c>
      <c r="G56" s="30" t="n">
        <f aca="false">Anlagen!J56/MAX(0.0001,SUM(Anlagen!I56:M56))</f>
        <v>0.249448123620309</v>
      </c>
      <c r="H56" s="30" t="n">
        <f aca="false">Anlagen!K56/MAX(0.0001,SUM(Anlagen!I56:M56))</f>
        <v>0.507726269315673</v>
      </c>
      <c r="I56" s="30" t="n">
        <f aca="false">Anlagen!L56/MAX(0.0001,SUM(Anlagen!I56:M56))</f>
        <v>0.242825607064018</v>
      </c>
      <c r="J56" s="30" t="n">
        <f aca="false">Anlagen!M56/MAX(0.0001,SUM(Anlagen!I56:M56))</f>
        <v>0</v>
      </c>
      <c r="K56" s="30" t="n">
        <f aca="false">F56*Neig_1+G56*Neig_2+H56*Neig_3+I56*Neig_4+J56*Neig_5</f>
        <v>0.576710816777042</v>
      </c>
      <c r="L56" s="30" t="n">
        <f aca="false">IF(LEFT(Anlagen!D56,1)="A",Stufe_A,IF(LEFT(Anlagen!D56,1)="B",Stufe_B,IF(LEFT(Anlagen!D56,1)="C",Stufe_C,Stufe_D)))</f>
        <v>0.9</v>
      </c>
      <c r="M56" s="30" t="n">
        <f aca="false">K56*(1-E56)*L56</f>
        <v>0.519039735099338</v>
      </c>
      <c r="N56" s="30" t="n">
        <f aca="false">F56*Abg_1+G56*Abg_2+H56*Abg_3+I56*Abg_4+J56*Abg_5</f>
        <v>0.136092715231788</v>
      </c>
      <c r="O56" s="30" t="n">
        <f aca="false">MAX(0,MIN(1,Nachbes-E56*Nachbes_Leer))</f>
        <v>0.7</v>
      </c>
      <c r="P56" s="31" t="n">
        <f aca="false">D56+(C56-D56)*N56*(1-O56)</f>
        <v>1.3473178807947</v>
      </c>
      <c r="Q56" s="30" t="n">
        <f aca="false">P56/C56</f>
        <v>0.0408278145695364</v>
      </c>
      <c r="R56" s="30" t="n">
        <f aca="false">(F56*(1-Abg_1)*Neig_1+G56*(1-Abg_2)*Neig_2+H56*(1-Abg_3)*Neig_3+I56*(1-Abg_4)*Neig_4+J56*(1-Abg_5)*Neig_5)/MAX(0.0001,1-N56)</f>
        <v>0.591957327200716</v>
      </c>
      <c r="S56" s="30" t="n">
        <f aca="false">(C56-D56)*((1-N56)*R56+N56*O56*Neig_Neu)*L56/C56</f>
        <v>0.524560430463576</v>
      </c>
      <c r="T56" s="30" t="n">
        <f aca="false">IF(Anlagen!W56&lt;&gt;"",Anlagen!W56,IF(Quote_Modus=2,Quote_fest,IF(Szenario=2,S56,M56)))</f>
        <v>0.519039735099338</v>
      </c>
      <c r="U56" s="23" t="str">
        <f aca="false">IF(Anlagen!W56&lt;&gt;"","manuell",IF(Quote_Modus=2,"fest",IF(Szenario=2,"Alter, in 5 J.","Alter, heute")))</f>
        <v>Alter, heute</v>
      </c>
      <c r="V56" s="31" t="n">
        <f aca="false">C56*T56</f>
        <v>17.1283112582781</v>
      </c>
    </row>
    <row r="57" customFormat="false" ht="15" hidden="false" customHeight="false" outlineLevel="0" collapsed="false">
      <c r="A57" s="23" t="n">
        <f aca="false">Anlagen!A57</f>
        <v>53</v>
      </c>
      <c r="B57" s="23" t="str">
        <f aca="false">Anlagen!B57</f>
        <v>Im Mittelbruch II</v>
      </c>
      <c r="C57" s="23" t="n">
        <f aca="false">Anlagen!F57</f>
        <v>47</v>
      </c>
      <c r="D57" s="23" t="n">
        <f aca="false">Anlagen!G57</f>
        <v>1</v>
      </c>
      <c r="E57" s="30" t="n">
        <f aca="false">D57/C57</f>
        <v>0.0212765957446809</v>
      </c>
      <c r="F57" s="30" t="n">
        <f aca="false">Anlagen!I57/MAX(0.0001,SUM(Anlagen!I57:M57))</f>
        <v>0</v>
      </c>
      <c r="G57" s="30" t="n">
        <f aca="false">Anlagen!J57/MAX(0.0001,SUM(Anlagen!I57:M57))</f>
        <v>0.351902173913043</v>
      </c>
      <c r="H57" s="30" t="n">
        <f aca="false">Anlagen!K57/MAX(0.0001,SUM(Anlagen!I57:M57))</f>
        <v>0.271739130434783</v>
      </c>
      <c r="I57" s="30" t="n">
        <f aca="false">Anlagen!L57/MAX(0.0001,SUM(Anlagen!I57:M57))</f>
        <v>0.357336956521739</v>
      </c>
      <c r="J57" s="30" t="n">
        <f aca="false">Anlagen!M57/MAX(0.0001,SUM(Anlagen!I57:M57))</f>
        <v>0.0190217391304348</v>
      </c>
      <c r="K57" s="30" t="n">
        <f aca="false">F57*Neig_1+G57*Neig_2+H57*Neig_3+I57*Neig_4+J57*Neig_5</f>
        <v>0.553940217391304</v>
      </c>
      <c r="L57" s="30" t="n">
        <f aca="false">IF(LEFT(Anlagen!D57,1)="A",Stufe_A,IF(LEFT(Anlagen!D57,1)="B",Stufe_B,IF(LEFT(Anlagen!D57,1)="C",Stufe_C,Stufe_D)))</f>
        <v>0.9</v>
      </c>
      <c r="M57" s="30" t="n">
        <f aca="false">K57*(1-E57)*L57</f>
        <v>0.487938829787234</v>
      </c>
      <c r="N57" s="30" t="n">
        <f aca="false">F57*Abg_1+G57*Abg_2+H57*Abg_3+I57*Abg_4+J57*Abg_5</f>
        <v>0.163383152173913</v>
      </c>
      <c r="O57" s="30" t="n">
        <f aca="false">MAX(0,MIN(1,Nachbes-E57*Nachbes_Leer))</f>
        <v>0.657446808510638</v>
      </c>
      <c r="P57" s="31" t="n">
        <f aca="false">D57+(C57-D57)*N57*(1-O57)</f>
        <v>3.57450132978723</v>
      </c>
      <c r="Q57" s="30" t="n">
        <f aca="false">P57/C57</f>
        <v>0.0760532197827071</v>
      </c>
      <c r="R57" s="30" t="n">
        <f aca="false">(F57*(1-Abg_1)*Neig_1+G57*(1-Abg_2)*Neig_2+H57*(1-Abg_3)*Neig_3+I57*(1-Abg_4)*Neig_4+J57*(1-Abg_5)*Neig_5)/MAX(0.0001,1-N57)</f>
        <v>0.580645554202192</v>
      </c>
      <c r="S57" s="30" t="n">
        <f aca="false">(C57-D57)*((1-N57)*R57+N57*O57*Neig_Neu)*L57/C57</f>
        <v>0.498860885157311</v>
      </c>
      <c r="T57" s="30" t="n">
        <f aca="false">IF(Anlagen!W57&lt;&gt;"",Anlagen!W57,IF(Quote_Modus=2,Quote_fest,IF(Szenario=2,S57,M57)))</f>
        <v>0.487938829787234</v>
      </c>
      <c r="U57" s="23" t="str">
        <f aca="false">IF(Anlagen!W57&lt;&gt;"","manuell",IF(Quote_Modus=2,"fest",IF(Szenario=2,"Alter, in 5 J.","Alter, heute")))</f>
        <v>Alter, heute</v>
      </c>
      <c r="V57" s="31" t="n">
        <f aca="false">C57*T57</f>
        <v>22.933125</v>
      </c>
    </row>
    <row r="58" customFormat="false" ht="15" hidden="false" customHeight="false" outlineLevel="0" collapsed="false">
      <c r="A58" s="23" t="n">
        <f aca="false">Anlagen!A58</f>
        <v>54</v>
      </c>
      <c r="B58" s="23" t="str">
        <f aca="false">Anlagen!B58</f>
        <v>Immergrün</v>
      </c>
      <c r="C58" s="23" t="n">
        <f aca="false">Anlagen!F58</f>
        <v>57</v>
      </c>
      <c r="D58" s="23" t="n">
        <f aca="false">Anlagen!G58</f>
        <v>0</v>
      </c>
      <c r="E58" s="30" t="n">
        <f aca="false">D58/C58</f>
        <v>0</v>
      </c>
      <c r="F58" s="30" t="n">
        <f aca="false">Anlagen!I58/MAX(0.0001,SUM(Anlagen!I58:M58))</f>
        <v>0.091970802919708</v>
      </c>
      <c r="G58" s="30" t="n">
        <f aca="false">Anlagen!J58/MAX(0.0001,SUM(Anlagen!I58:M58))</f>
        <v>0.31970802919708</v>
      </c>
      <c r="H58" s="30" t="n">
        <f aca="false">Anlagen!K58/MAX(0.0001,SUM(Anlagen!I58:M58))</f>
        <v>0.366423357664234</v>
      </c>
      <c r="I58" s="30" t="n">
        <f aca="false">Anlagen!L58/MAX(0.0001,SUM(Anlagen!I58:M58))</f>
        <v>0.214598540145985</v>
      </c>
      <c r="J58" s="30" t="n">
        <f aca="false">Anlagen!M58/MAX(0.0001,SUM(Anlagen!I58:M58))</f>
        <v>0.0072992700729927</v>
      </c>
      <c r="K58" s="30" t="n">
        <f aca="false">F58*Neig_1+G58*Neig_2+H58*Neig_3+I58*Neig_4+J58*Neig_5</f>
        <v>0.609051094890511</v>
      </c>
      <c r="L58" s="30" t="n">
        <f aca="false">IF(LEFT(Anlagen!D58,1)="A",Stufe_A,IF(LEFT(Anlagen!D58,1)="B",Stufe_B,IF(LEFT(Anlagen!D58,1)="C",Stufe_C,Stufe_D)))</f>
        <v>1</v>
      </c>
      <c r="M58" s="30" t="n">
        <f aca="false">K58*(1-E58)*L58</f>
        <v>0.609051094890511</v>
      </c>
      <c r="N58" s="30" t="n">
        <f aca="false">F58*Abg_1+G58*Abg_2+H58*Abg_3+I58*Abg_4+J58*Abg_5</f>
        <v>0.125985401459854</v>
      </c>
      <c r="O58" s="30" t="n">
        <f aca="false">MAX(0,MIN(1,Nachbes-E58*Nachbes_Leer))</f>
        <v>0.7</v>
      </c>
      <c r="P58" s="31" t="n">
        <f aca="false">D58+(C58-D58)*N58*(1-O58)</f>
        <v>2.1543503649635</v>
      </c>
      <c r="Q58" s="30" t="n">
        <f aca="false">P58/C58</f>
        <v>0.0377956204379562</v>
      </c>
      <c r="R58" s="30" t="n">
        <f aca="false">(F58*(1-Abg_1)*Neig_1+G58*(1-Abg_2)*Neig_2+H58*(1-Abg_3)*Neig_3+I58*(1-Abg_4)*Neig_4+J58*(1-Abg_5)*Neig_5)/MAX(0.0001,1-N58)</f>
        <v>0.627480374143979</v>
      </c>
      <c r="S58" s="30" t="n">
        <f aca="false">(C58-D58)*((1-N58)*R58+N58*O58*Neig_Neu)*L58/C58</f>
        <v>0.614569343065693</v>
      </c>
      <c r="T58" s="30" t="n">
        <f aca="false">IF(Anlagen!W58&lt;&gt;"",Anlagen!W58,IF(Quote_Modus=2,Quote_fest,IF(Szenario=2,S58,M58)))</f>
        <v>0.609051094890511</v>
      </c>
      <c r="U58" s="23" t="str">
        <f aca="false">IF(Anlagen!W58&lt;&gt;"","manuell",IF(Quote_Modus=2,"fest",IF(Szenario=2,"Alter, in 5 J.","Alter, heute")))</f>
        <v>Alter, heute</v>
      </c>
      <c r="V58" s="31" t="n">
        <f aca="false">C58*T58</f>
        <v>34.7159124087591</v>
      </c>
    </row>
    <row r="59" customFormat="false" ht="15" hidden="false" customHeight="false" outlineLevel="0" collapsed="false">
      <c r="A59" s="23" t="n">
        <f aca="false">Anlagen!A59</f>
        <v>55</v>
      </c>
      <c r="B59" s="23" t="str">
        <f aca="false">Anlagen!B59</f>
        <v>Jakobswerder</v>
      </c>
      <c r="C59" s="23" t="n">
        <f aca="false">Anlagen!F59</f>
        <v>49</v>
      </c>
      <c r="D59" s="23" t="n">
        <f aca="false">Anlagen!G59</f>
        <v>1</v>
      </c>
      <c r="E59" s="30" t="n">
        <f aca="false">D59/C59</f>
        <v>0.0204081632653061</v>
      </c>
      <c r="F59" s="30" t="n">
        <f aca="false">Anlagen!I59/MAX(0.0001,SUM(Anlagen!I59:M59))</f>
        <v>0.0511073253833049</v>
      </c>
      <c r="G59" s="30" t="n">
        <f aca="false">Anlagen!J59/MAX(0.0001,SUM(Anlagen!I59:M59))</f>
        <v>0.332197614991482</v>
      </c>
      <c r="H59" s="30" t="n">
        <f aca="false">Anlagen!K59/MAX(0.0001,SUM(Anlagen!I59:M59))</f>
        <v>0.410562180579216</v>
      </c>
      <c r="I59" s="30" t="n">
        <f aca="false">Anlagen!L59/MAX(0.0001,SUM(Anlagen!I59:M59))</f>
        <v>0.206132879045997</v>
      </c>
      <c r="J59" s="30" t="n">
        <f aca="false">Anlagen!M59/MAX(0.0001,SUM(Anlagen!I59:M59))</f>
        <v>0</v>
      </c>
      <c r="K59" s="30" t="n">
        <f aca="false">F59*Neig_1+G59*Neig_2+H59*Neig_3+I59*Neig_4+J59*Neig_5</f>
        <v>0.608517887563884</v>
      </c>
      <c r="L59" s="30" t="n">
        <f aca="false">IF(LEFT(Anlagen!D59,1)="A",Stufe_A,IF(LEFT(Anlagen!D59,1)="B",Stufe_B,IF(LEFT(Anlagen!D59,1)="C",Stufe_C,Stufe_D)))</f>
        <v>1</v>
      </c>
      <c r="M59" s="30" t="n">
        <f aca="false">K59*(1-E59)*L59</f>
        <v>0.596099155164621</v>
      </c>
      <c r="N59" s="30" t="n">
        <f aca="false">F59*Abg_1+G59*Abg_2+H59*Abg_3+I59*Abg_4+J59*Abg_5</f>
        <v>0.12206132879046</v>
      </c>
      <c r="O59" s="30" t="n">
        <f aca="false">MAX(0,MIN(1,Nachbes-E59*Nachbes_Leer))</f>
        <v>0.659183673469388</v>
      </c>
      <c r="P59" s="31" t="n">
        <f aca="false">D59+(C59-D59)*N59*(1-O59)</f>
        <v>2.99682369711087</v>
      </c>
      <c r="Q59" s="30" t="n">
        <f aca="false">P59/C59</f>
        <v>0.061159667287977</v>
      </c>
      <c r="R59" s="30" t="n">
        <f aca="false">(F59*(1-Abg_1)*Neig_1+G59*(1-Abg_2)*Neig_2+H59*(1-Abg_3)*Neig_3+I59*(1-Abg_4)*Neig_4+J59*(1-Abg_5)*Neig_5)/MAX(0.0001,1-N59)</f>
        <v>0.623891530028136</v>
      </c>
      <c r="S59" s="30" t="n">
        <f aca="false">(C59-D59)*((1-N59)*R59+N59*O59*Neig_Neu)*L59/C59</f>
        <v>0.595674247030801</v>
      </c>
      <c r="T59" s="30" t="n">
        <f aca="false">IF(Anlagen!W59&lt;&gt;"",Anlagen!W59,IF(Quote_Modus=2,Quote_fest,IF(Szenario=2,S59,M59)))</f>
        <v>0.596099155164621</v>
      </c>
      <c r="U59" s="23" t="str">
        <f aca="false">IF(Anlagen!W59&lt;&gt;"","manuell",IF(Quote_Modus=2,"fest",IF(Szenario=2,"Alter, in 5 J.","Alter, heute")))</f>
        <v>Alter, heute</v>
      </c>
      <c r="V59" s="31" t="n">
        <f aca="false">C59*T59</f>
        <v>29.2088586030664</v>
      </c>
    </row>
    <row r="60" customFormat="false" ht="15" hidden="false" customHeight="false" outlineLevel="0" collapsed="false">
      <c r="A60" s="23" t="n">
        <f aca="false">Anlagen!A60</f>
        <v>56</v>
      </c>
      <c r="B60" s="23" t="str">
        <f aca="false">Anlagen!B60</f>
        <v>Kammgarn</v>
      </c>
      <c r="C60" s="23" t="n">
        <f aca="false">Anlagen!F60</f>
        <v>28</v>
      </c>
      <c r="D60" s="23" t="n">
        <f aca="false">Anlagen!G60</f>
        <v>10</v>
      </c>
      <c r="E60" s="30" t="n">
        <f aca="false">D60/C60</f>
        <v>0.357142857142857</v>
      </c>
      <c r="F60" s="30" t="n">
        <f aca="false">Anlagen!I60/MAX(0.0001,SUM(Anlagen!I60:M60))</f>
        <v>0.0687022900763359</v>
      </c>
      <c r="G60" s="30" t="n">
        <f aca="false">Anlagen!J60/MAX(0.0001,SUM(Anlagen!I60:M60))</f>
        <v>0.358778625954198</v>
      </c>
      <c r="H60" s="30" t="n">
        <f aca="false">Anlagen!K60/MAX(0.0001,SUM(Anlagen!I60:M60))</f>
        <v>0.572519083969466</v>
      </c>
      <c r="I60" s="30" t="n">
        <f aca="false">Anlagen!L60/MAX(0.0001,SUM(Anlagen!I60:M60))</f>
        <v>0</v>
      </c>
      <c r="J60" s="30" t="n">
        <f aca="false">Anlagen!M60/MAX(0.0001,SUM(Anlagen!I60:M60))</f>
        <v>0</v>
      </c>
      <c r="K60" s="30" t="n">
        <f aca="false">F60*Neig_1+G60*Neig_2+H60*Neig_3+I60*Neig_4+J60*Neig_5</f>
        <v>0.667557251908397</v>
      </c>
      <c r="L60" s="30" t="n">
        <f aca="false">IF(LEFT(Anlagen!D60,1)="A",Stufe_A,IF(LEFT(Anlagen!D60,1)="B",Stufe_B,IF(LEFT(Anlagen!D60,1)="C",Stufe_C,Stufe_D)))</f>
        <v>1</v>
      </c>
      <c r="M60" s="30" t="n">
        <f aca="false">K60*(1-E60)*L60</f>
        <v>0.429143947655398</v>
      </c>
      <c r="N60" s="30" t="n">
        <f aca="false">F60*Abg_1+G60*Abg_2+H60*Abg_3+I60*Abg_4+J60*Abg_5</f>
        <v>0.0786259541984733</v>
      </c>
      <c r="O60" s="30" t="n">
        <f aca="false">MAX(0,MIN(1,Nachbes-E60*Nachbes_Leer))</f>
        <v>0</v>
      </c>
      <c r="P60" s="31" t="n">
        <f aca="false">D60+(C60-D60)*N60*(1-O60)</f>
        <v>11.4152671755725</v>
      </c>
      <c r="Q60" s="30" t="n">
        <f aca="false">P60/C60</f>
        <v>0.407688113413304</v>
      </c>
      <c r="R60" s="30" t="n">
        <f aca="false">(F60*(1-Abg_1)*Neig_1+G60*(1-Abg_2)*Neig_2+H60*(1-Abg_3)*Neig_3+I60*(1-Abg_4)*Neig_4+J60*(1-Abg_5)*Neig_5)/MAX(0.0001,1-N60)</f>
        <v>0.669656172328086</v>
      </c>
      <c r="S60" s="30" t="n">
        <f aca="false">(C60-D60)*((1-N60)*R60+N60*O60*Neig_Neu)*L60/C60</f>
        <v>0.396645310796074</v>
      </c>
      <c r="T60" s="30" t="n">
        <f aca="false">IF(Anlagen!W60&lt;&gt;"",Anlagen!W60,IF(Quote_Modus=2,Quote_fest,IF(Szenario=2,S60,M60)))</f>
        <v>0.429143947655398</v>
      </c>
      <c r="U60" s="23" t="str">
        <f aca="false">IF(Anlagen!W60&lt;&gt;"","manuell",IF(Quote_Modus=2,"fest",IF(Szenario=2,"Alter, in 5 J.","Alter, heute")))</f>
        <v>Alter, heute</v>
      </c>
      <c r="V60" s="31" t="n">
        <f aca="false">C60*T60</f>
        <v>12.0160305343511</v>
      </c>
    </row>
    <row r="61" customFormat="false" ht="15" hidden="false" customHeight="false" outlineLevel="0" collapsed="false">
      <c r="A61" s="23" t="n">
        <f aca="false">Anlagen!A61</f>
        <v>57</v>
      </c>
      <c r="B61" s="23" t="str">
        <f aca="false">Anlagen!B61</f>
        <v>Kirchmöser-Dorf</v>
      </c>
      <c r="C61" s="23" t="n">
        <f aca="false">Anlagen!F61</f>
        <v>48</v>
      </c>
      <c r="D61" s="23" t="n">
        <f aca="false">Anlagen!G61</f>
        <v>2</v>
      </c>
      <c r="E61" s="30" t="n">
        <f aca="false">D61/C61</f>
        <v>0.0416666666666667</v>
      </c>
      <c r="F61" s="30" t="n">
        <f aca="false">Anlagen!I61/MAX(0.0001,SUM(Anlagen!I61:M61))</f>
        <v>0</v>
      </c>
      <c r="G61" s="30" t="n">
        <f aca="false">Anlagen!J61/MAX(0.0001,SUM(Anlagen!I61:M61))</f>
        <v>0.213438735177866</v>
      </c>
      <c r="H61" s="30" t="n">
        <f aca="false">Anlagen!K61/MAX(0.0001,SUM(Anlagen!I61:M61))</f>
        <v>0.464426877470356</v>
      </c>
      <c r="I61" s="30" t="n">
        <f aca="false">Anlagen!L61/MAX(0.0001,SUM(Anlagen!I61:M61))</f>
        <v>0.322134387351779</v>
      </c>
      <c r="J61" s="30" t="n">
        <f aca="false">Anlagen!M61/MAX(0.0001,SUM(Anlagen!I61:M61))</f>
        <v>0</v>
      </c>
      <c r="K61" s="30" t="n">
        <f aca="false">F61*Neig_1+G61*Neig_2+H61*Neig_3+I61*Neig_4+J61*Neig_5</f>
        <v>0.551482213438735</v>
      </c>
      <c r="L61" s="30" t="n">
        <f aca="false">IF(LEFT(Anlagen!D61,1)="A",Stufe_A,IF(LEFT(Anlagen!D61,1)="B",Stufe_B,IF(LEFT(Anlagen!D61,1)="C",Stufe_C,Stufe_D)))</f>
        <v>0.9</v>
      </c>
      <c r="M61" s="30" t="n">
        <f aca="false">K61*(1-E61)*L61</f>
        <v>0.475653409090909</v>
      </c>
      <c r="N61" s="30" t="n">
        <f aca="false">F61*Abg_1+G61*Abg_2+H61*Abg_3+I61*Abg_4+J61*Abg_5</f>
        <v>0.153754940711462</v>
      </c>
      <c r="O61" s="30" t="n">
        <f aca="false">MAX(0,MIN(1,Nachbes-E61*Nachbes_Leer))</f>
        <v>0.616666666666667</v>
      </c>
      <c r="P61" s="31" t="n">
        <f aca="false">D61+(C61-D61)*N61*(1-O61)</f>
        <v>4.71121212121212</v>
      </c>
      <c r="Q61" s="30" t="n">
        <f aca="false">P61/C61</f>
        <v>0.0981502525252526</v>
      </c>
      <c r="R61" s="30" t="n">
        <f aca="false">(F61*(1-Abg_1)*Neig_1+G61*(1-Abg_2)*Neig_2+H61*(1-Abg_3)*Neig_3+I61*(1-Abg_4)*Neig_4+J61*(1-Abg_5)*Neig_5)/MAX(0.0001,1-N61)</f>
        <v>0.569325081737506</v>
      </c>
      <c r="S61" s="30" t="n">
        <f aca="false">(C61-D61)*((1-N61)*R61+N61*O61*Neig_Neu)*L61/C61</f>
        <v>0.476876420454545</v>
      </c>
      <c r="T61" s="30" t="n">
        <f aca="false">IF(Anlagen!W61&lt;&gt;"",Anlagen!W61,IF(Quote_Modus=2,Quote_fest,IF(Szenario=2,S61,M61)))</f>
        <v>0.475653409090909</v>
      </c>
      <c r="U61" s="23" t="str">
        <f aca="false">IF(Anlagen!W61&lt;&gt;"","manuell",IF(Quote_Modus=2,"fest",IF(Szenario=2,"Alter, in 5 J.","Alter, heute")))</f>
        <v>Alter, heute</v>
      </c>
      <c r="V61" s="31" t="n">
        <f aca="false">C61*T61</f>
        <v>22.8313636363636</v>
      </c>
    </row>
    <row r="62" customFormat="false" ht="15" hidden="false" customHeight="false" outlineLevel="0" collapsed="false">
      <c r="A62" s="23" t="n">
        <f aca="false">Anlagen!A62</f>
        <v>58</v>
      </c>
      <c r="B62" s="23" t="str">
        <f aca="false">Anlagen!B62</f>
        <v>Kirchmöser-Lehmgarten</v>
      </c>
      <c r="C62" s="23" t="n">
        <f aca="false">Anlagen!F62</f>
        <v>38</v>
      </c>
      <c r="D62" s="23" t="n">
        <f aca="false">Anlagen!G62</f>
        <v>1</v>
      </c>
      <c r="E62" s="30" t="n">
        <f aca="false">D62/C62</f>
        <v>0.0263157894736842</v>
      </c>
      <c r="F62" s="30" t="n">
        <f aca="false">Anlagen!I62/MAX(0.0001,SUM(Anlagen!I62:M62))</f>
        <v>0.0213675213675214</v>
      </c>
      <c r="G62" s="30" t="n">
        <f aca="false">Anlagen!J62/MAX(0.0001,SUM(Anlagen!I62:M62))</f>
        <v>0.301282051282051</v>
      </c>
      <c r="H62" s="30" t="n">
        <f aca="false">Anlagen!K62/MAX(0.0001,SUM(Anlagen!I62:M62))</f>
        <v>0.504273504273504</v>
      </c>
      <c r="I62" s="30" t="n">
        <f aca="false">Anlagen!L62/MAX(0.0001,SUM(Anlagen!I62:M62))</f>
        <v>0.173076923076923</v>
      </c>
      <c r="J62" s="30" t="n">
        <f aca="false">Anlagen!M62/MAX(0.0001,SUM(Anlagen!I62:M62))</f>
        <v>0</v>
      </c>
      <c r="K62" s="30" t="n">
        <f aca="false">F62*Neig_1+G62*Neig_2+H62*Neig_3+I62*Neig_4+J62*Neig_5</f>
        <v>0.606196581196581</v>
      </c>
      <c r="L62" s="30" t="n">
        <f aca="false">IF(LEFT(Anlagen!D62,1)="A",Stufe_A,IF(LEFT(Anlagen!D62,1)="B",Stufe_B,IF(LEFT(Anlagen!D62,1)="C",Stufe_C,Stufe_D)))</f>
        <v>1</v>
      </c>
      <c r="M62" s="30" t="n">
        <f aca="false">K62*(1-E62)*L62</f>
        <v>0.590244039586145</v>
      </c>
      <c r="N62" s="30" t="n">
        <f aca="false">F62*Abg_1+G62*Abg_2+H62*Abg_3+I62*Abg_4+J62*Abg_5</f>
        <v>0.118482905982906</v>
      </c>
      <c r="O62" s="30" t="n">
        <f aca="false">MAX(0,MIN(1,Nachbes-E62*Nachbes_Leer))</f>
        <v>0.647368421052632</v>
      </c>
      <c r="P62" s="31" t="n">
        <f aca="false">D62+(C62-D62)*N62*(1-O62)</f>
        <v>2.54589012595592</v>
      </c>
      <c r="Q62" s="30" t="n">
        <f aca="false">P62/C62</f>
        <v>0.0669971085777872</v>
      </c>
      <c r="R62" s="30" t="n">
        <f aca="false">(F62*(1-Abg_1)*Neig_1+G62*(1-Abg_2)*Neig_2+H62*(1-Abg_3)*Neig_3+I62*(1-Abg_4)*Neig_4+J62*(1-Abg_5)*Neig_5)/MAX(0.0001,1-N62)</f>
        <v>0.618949218276573</v>
      </c>
      <c r="S62" s="30" t="n">
        <f aca="false">(C62-D62)*((1-N62)*R62+N62*O62*Neig_Neu)*L62/C62</f>
        <v>0.587268756510879</v>
      </c>
      <c r="T62" s="30" t="n">
        <f aca="false">IF(Anlagen!W62&lt;&gt;"",Anlagen!W62,IF(Quote_Modus=2,Quote_fest,IF(Szenario=2,S62,M62)))</f>
        <v>0.590244039586145</v>
      </c>
      <c r="U62" s="23" t="str">
        <f aca="false">IF(Anlagen!W62&lt;&gt;"","manuell",IF(Quote_Modus=2,"fest",IF(Szenario=2,"Alter, in 5 J.","Alter, heute")))</f>
        <v>Alter, heute</v>
      </c>
      <c r="V62" s="31" t="n">
        <f aca="false">C62*T62</f>
        <v>22.4292735042735</v>
      </c>
    </row>
    <row r="63" customFormat="false" ht="15" hidden="false" customHeight="false" outlineLevel="0" collapsed="false">
      <c r="A63" s="23" t="n">
        <f aca="false">Anlagen!A63</f>
        <v>59</v>
      </c>
      <c r="B63" s="23" t="str">
        <f aca="false">Anlagen!B63</f>
        <v>Kirchmöser-Ost</v>
      </c>
      <c r="C63" s="23" t="n">
        <f aca="false">Anlagen!F63</f>
        <v>66</v>
      </c>
      <c r="D63" s="23" t="n">
        <f aca="false">Anlagen!G63</f>
        <v>0</v>
      </c>
      <c r="E63" s="30" t="n">
        <f aca="false">D63/C63</f>
        <v>0</v>
      </c>
      <c r="F63" s="30" t="n">
        <f aca="false">Anlagen!I63/MAX(0.0001,SUM(Anlagen!I63:M63))</f>
        <v>0</v>
      </c>
      <c r="G63" s="30" t="n">
        <f aca="false">Anlagen!J63/MAX(0.0001,SUM(Anlagen!I63:M63))</f>
        <v>0.180887372013652</v>
      </c>
      <c r="H63" s="30" t="n">
        <f aca="false">Anlagen!K63/MAX(0.0001,SUM(Anlagen!I63:M63))</f>
        <v>0.444823663253697</v>
      </c>
      <c r="I63" s="30" t="n">
        <f aca="false">Anlagen!L63/MAX(0.0001,SUM(Anlagen!I63:M63))</f>
        <v>0.374288964732651</v>
      </c>
      <c r="J63" s="30" t="n">
        <f aca="false">Anlagen!M63/MAX(0.0001,SUM(Anlagen!I63:M63))</f>
        <v>0</v>
      </c>
      <c r="K63" s="30" t="n">
        <f aca="false">F63*Neig_1+G63*Neig_2+H63*Neig_3+I63*Neig_4+J63*Neig_5</f>
        <v>0.533560864618885</v>
      </c>
      <c r="L63" s="30" t="n">
        <f aca="false">IF(LEFT(Anlagen!D63,1)="A",Stufe_A,IF(LEFT(Anlagen!D63,1)="B",Stufe_B,IF(LEFT(Anlagen!D63,1)="C",Stufe_C,Stufe_D)))</f>
        <v>1</v>
      </c>
      <c r="M63" s="30" t="n">
        <f aca="false">K63*(1-E63)*L63</f>
        <v>0.533560864618885</v>
      </c>
      <c r="N63" s="30" t="n">
        <f aca="false">F63*Abg_1+G63*Abg_2+H63*Abg_3+I63*Abg_4+J63*Abg_5</f>
        <v>0.165813424345848</v>
      </c>
      <c r="O63" s="30" t="n">
        <f aca="false">MAX(0,MIN(1,Nachbes-E63*Nachbes_Leer))</f>
        <v>0.7</v>
      </c>
      <c r="P63" s="31" t="n">
        <f aca="false">D63+(C63-D63)*N63*(1-O63)</f>
        <v>3.28310580204778</v>
      </c>
      <c r="Q63" s="30" t="n">
        <f aca="false">P63/C63</f>
        <v>0.0497440273037543</v>
      </c>
      <c r="R63" s="30" t="n">
        <f aca="false">(F63*(1-Abg_1)*Neig_1+G63*(1-Abg_2)*Neig_2+H63*(1-Abg_3)*Neig_3+I63*(1-Abg_4)*Neig_4+J63*(1-Abg_5)*Neig_5)/MAX(0.0001,1-N63)</f>
        <v>0.552379815888169</v>
      </c>
      <c r="S63" s="30" t="n">
        <f aca="false">(C63-D63)*((1-N63)*R63+N63*O63*Neig_Neu)*L63/C63</f>
        <v>0.547839874857793</v>
      </c>
      <c r="T63" s="30" t="n">
        <f aca="false">IF(Anlagen!W63&lt;&gt;"",Anlagen!W63,IF(Quote_Modus=2,Quote_fest,IF(Szenario=2,S63,M63)))</f>
        <v>0.533560864618885</v>
      </c>
      <c r="U63" s="23" t="str">
        <f aca="false">IF(Anlagen!W63&lt;&gt;"","manuell",IF(Quote_Modus=2,"fest",IF(Szenario=2,"Alter, in 5 J.","Alter, heute")))</f>
        <v>Alter, heute</v>
      </c>
      <c r="V63" s="31" t="n">
        <f aca="false">C63*T63</f>
        <v>35.2150170648464</v>
      </c>
    </row>
    <row r="64" customFormat="false" ht="15" hidden="false" customHeight="false" outlineLevel="0" collapsed="false">
      <c r="A64" s="23" t="n">
        <f aca="false">Anlagen!A64</f>
        <v>60</v>
      </c>
      <c r="B64" s="23" t="str">
        <f aca="false">Anlagen!B64</f>
        <v>Landheim</v>
      </c>
      <c r="C64" s="23" t="n">
        <f aca="false">Anlagen!F64</f>
        <v>109</v>
      </c>
      <c r="D64" s="23" t="n">
        <f aca="false">Anlagen!G64</f>
        <v>11</v>
      </c>
      <c r="E64" s="30" t="n">
        <f aca="false">D64/C64</f>
        <v>0.100917431192661</v>
      </c>
      <c r="F64" s="30" t="n">
        <f aca="false">Anlagen!I64/MAX(0.0001,SUM(Anlagen!I64:M64))</f>
        <v>0.0196078431372549</v>
      </c>
      <c r="G64" s="30" t="n">
        <f aca="false">Anlagen!J64/MAX(0.0001,SUM(Anlagen!I64:M64))</f>
        <v>0.363171355498721</v>
      </c>
      <c r="H64" s="30" t="n">
        <f aca="false">Anlagen!K64/MAX(0.0001,SUM(Anlagen!I64:M64))</f>
        <v>0.378516624040921</v>
      </c>
      <c r="I64" s="30" t="n">
        <f aca="false">Anlagen!L64/MAX(0.0001,SUM(Anlagen!I64:M64))</f>
        <v>0.238704177323103</v>
      </c>
      <c r="J64" s="30" t="n">
        <f aca="false">Anlagen!M64/MAX(0.0001,SUM(Anlagen!I64:M64))</f>
        <v>0</v>
      </c>
      <c r="K64" s="30" t="n">
        <f aca="false">F64*Neig_1+G64*Neig_2+H64*Neig_3+I64*Neig_4+J64*Neig_5</f>
        <v>0.598721227621484</v>
      </c>
      <c r="L64" s="30" t="n">
        <f aca="false">IF(LEFT(Anlagen!D64,1)="A",Stufe_A,IF(LEFT(Anlagen!D64,1)="B",Stufe_B,IF(LEFT(Anlagen!D64,1)="C",Stufe_C,Stufe_D)))</f>
        <v>1</v>
      </c>
      <c r="M64" s="30" t="n">
        <f aca="false">K64*(1-E64)*L64</f>
        <v>0.538299819329407</v>
      </c>
      <c r="N64" s="30" t="n">
        <f aca="false">F64*Abg_1+G64*Abg_2+H64*Abg_3+I64*Abg_4+J64*Abg_5</f>
        <v>0.128601875532822</v>
      </c>
      <c r="O64" s="30" t="n">
        <f aca="false">MAX(0,MIN(1,Nachbes-E64*Nachbes_Leer))</f>
        <v>0.498165137614679</v>
      </c>
      <c r="P64" s="31" t="n">
        <f aca="false">D64+(C64-D64)*N64*(1-O64)</f>
        <v>17.3246166420298</v>
      </c>
      <c r="Q64" s="30" t="n">
        <f aca="false">P64/C64</f>
        <v>0.158941437082842</v>
      </c>
      <c r="R64" s="30" t="n">
        <f aca="false">(F64*(1-Abg_1)*Neig_1+G64*(1-Abg_2)*Neig_2+H64*(1-Abg_3)*Neig_3+I64*(1-Abg_4)*Neig_4+J64*(1-Abg_5)*Neig_5)/MAX(0.0001,1-N64)</f>
        <v>0.615726654600597</v>
      </c>
      <c r="S64" s="30" t="n">
        <f aca="false">(C64-D64)*((1-N64)*R64+N64*O64*Neig_Neu)*L64/C64</f>
        <v>0.525596279508938</v>
      </c>
      <c r="T64" s="30" t="n">
        <f aca="false">IF(Anlagen!W64&lt;&gt;"",Anlagen!W64,IF(Quote_Modus=2,Quote_fest,IF(Szenario=2,S64,M64)))</f>
        <v>0.538299819329407</v>
      </c>
      <c r="U64" s="23" t="str">
        <f aca="false">IF(Anlagen!W64&lt;&gt;"","manuell",IF(Quote_Modus=2,"fest",IF(Szenario=2,"Alter, in 5 J.","Alter, heute")))</f>
        <v>Alter, heute</v>
      </c>
      <c r="V64" s="31" t="n">
        <f aca="false">C64*T64</f>
        <v>58.6746803069054</v>
      </c>
    </row>
    <row r="65" customFormat="false" ht="15" hidden="false" customHeight="false" outlineLevel="0" collapsed="false">
      <c r="A65" s="23" t="n">
        <f aca="false">Anlagen!A65</f>
        <v>61</v>
      </c>
      <c r="B65" s="23" t="str">
        <f aca="false">Anlagen!B65</f>
        <v>Märkische Aue</v>
      </c>
      <c r="C65" s="23" t="n">
        <f aca="false">Anlagen!F65</f>
        <v>73</v>
      </c>
      <c r="D65" s="23" t="n">
        <f aca="false">Anlagen!G65</f>
        <v>0</v>
      </c>
      <c r="E65" s="30" t="n">
        <f aca="false">D65/C65</f>
        <v>0</v>
      </c>
      <c r="F65" s="30" t="n">
        <f aca="false">Anlagen!I65/MAX(0.0001,SUM(Anlagen!I65:M65))</f>
        <v>0</v>
      </c>
      <c r="G65" s="30" t="n">
        <f aca="false">Anlagen!J65/MAX(0.0001,SUM(Anlagen!I65:M65))</f>
        <v>0.201327433628319</v>
      </c>
      <c r="H65" s="30" t="n">
        <f aca="false">Anlagen!K65/MAX(0.0001,SUM(Anlagen!I65:M65))</f>
        <v>0.598451327433628</v>
      </c>
      <c r="I65" s="30" t="n">
        <f aca="false">Anlagen!L65/MAX(0.0001,SUM(Anlagen!I65:M65))</f>
        <v>0.200221238938053</v>
      </c>
      <c r="J65" s="30" t="n">
        <f aca="false">Anlagen!M65/MAX(0.0001,SUM(Anlagen!I65:M65))</f>
        <v>0</v>
      </c>
      <c r="K65" s="30" t="n">
        <f aca="false">F65*Neig_1+G65*Neig_2+H65*Neig_3+I65*Neig_4+J65*Neig_5</f>
        <v>0.580143805309735</v>
      </c>
      <c r="L65" s="30" t="n">
        <f aca="false">IF(LEFT(Anlagen!D65,1)="A",Stufe_A,IF(LEFT(Anlagen!D65,1)="B",Stufe_B,IF(LEFT(Anlagen!D65,1)="C",Stufe_C,Stufe_D)))</f>
        <v>1</v>
      </c>
      <c r="M65" s="30" t="n">
        <f aca="false">K65*(1-E65)*L65</f>
        <v>0.580143805309735</v>
      </c>
      <c r="N65" s="30" t="n">
        <f aca="false">F65*Abg_1+G65*Abg_2+H65*Abg_3+I65*Abg_4+J65*Abg_5</f>
        <v>0.129977876106195</v>
      </c>
      <c r="O65" s="30" t="n">
        <f aca="false">MAX(0,MIN(1,Nachbes-E65*Nachbes_Leer))</f>
        <v>0.7</v>
      </c>
      <c r="P65" s="31" t="n">
        <f aca="false">D65+(C65-D65)*N65*(1-O65)</f>
        <v>2.84651548672566</v>
      </c>
      <c r="Q65" s="30" t="n">
        <f aca="false">P65/C65</f>
        <v>0.0389933628318584</v>
      </c>
      <c r="R65" s="30" t="n">
        <f aca="false">(F65*(1-Abg_1)*Neig_1+G65*(1-Abg_2)*Neig_2+H65*(1-Abg_3)*Neig_3+I65*(1-Abg_4)*Neig_4+J65*(1-Abg_5)*Neig_5)/MAX(0.0001,1-N65)</f>
        <v>0.592701843610935</v>
      </c>
      <c r="S65" s="30" t="n">
        <f aca="false">(C65-D65)*((1-N65)*R65+N65*O65*Neig_Neu)*L65/C65</f>
        <v>0.583902101769911</v>
      </c>
      <c r="T65" s="30" t="n">
        <f aca="false">IF(Anlagen!W65&lt;&gt;"",Anlagen!W65,IF(Quote_Modus=2,Quote_fest,IF(Szenario=2,S65,M65)))</f>
        <v>0.580143805309735</v>
      </c>
      <c r="U65" s="23" t="str">
        <f aca="false">IF(Anlagen!W65&lt;&gt;"","manuell",IF(Quote_Modus=2,"fest",IF(Szenario=2,"Alter, in 5 J.","Alter, heute")))</f>
        <v>Alter, heute</v>
      </c>
      <c r="V65" s="31" t="n">
        <f aca="false">C65*T65</f>
        <v>42.3504977876106</v>
      </c>
    </row>
    <row r="66" customFormat="false" ht="15" hidden="false" customHeight="false" outlineLevel="0" collapsed="false">
      <c r="A66" s="23" t="n">
        <f aca="false">Anlagen!A66</f>
        <v>62</v>
      </c>
      <c r="B66" s="23" t="str">
        <f aca="false">Anlagen!B66</f>
        <v>Mittelweg</v>
      </c>
      <c r="C66" s="23" t="n">
        <f aca="false">Anlagen!F66</f>
        <v>36</v>
      </c>
      <c r="D66" s="23" t="n">
        <f aca="false">Anlagen!G66</f>
        <v>2</v>
      </c>
      <c r="E66" s="30" t="n">
        <f aca="false">D66/C66</f>
        <v>0.0555555555555556</v>
      </c>
      <c r="F66" s="30" t="n">
        <f aca="false">Anlagen!I66/MAX(0.0001,SUM(Anlagen!I66:M66))</f>
        <v>0</v>
      </c>
      <c r="G66" s="30" t="n">
        <f aca="false">Anlagen!J66/MAX(0.0001,SUM(Anlagen!I66:M66))</f>
        <v>0.265625</v>
      </c>
      <c r="H66" s="30" t="n">
        <f aca="false">Anlagen!K66/MAX(0.0001,SUM(Anlagen!I66:M66))</f>
        <v>0.435267857142857</v>
      </c>
      <c r="I66" s="30" t="n">
        <f aca="false">Anlagen!L66/MAX(0.0001,SUM(Anlagen!I66:M66))</f>
        <v>0.299107142857143</v>
      </c>
      <c r="J66" s="30" t="n">
        <f aca="false">Anlagen!M66/MAX(0.0001,SUM(Anlagen!I66:M66))</f>
        <v>0</v>
      </c>
      <c r="K66" s="30" t="n">
        <f aca="false">F66*Neig_1+G66*Neig_2+H66*Neig_3+I66*Neig_4+J66*Neig_5</f>
        <v>0.565066964285714</v>
      </c>
      <c r="L66" s="30" t="n">
        <f aca="false">IF(LEFT(Anlagen!D66,1)="A",Stufe_A,IF(LEFT(Anlagen!D66,1)="B",Stufe_B,IF(LEFT(Anlagen!D66,1)="C",Stufe_C,Stufe_D)))</f>
        <v>0.9</v>
      </c>
      <c r="M66" s="30" t="n">
        <f aca="false">K66*(1-E66)*L66</f>
        <v>0.480306919642857</v>
      </c>
      <c r="N66" s="30" t="n">
        <f aca="false">F66*Abg_1+G66*Abg_2+H66*Abg_3+I66*Abg_4+J66*Abg_5</f>
        <v>0.146540178571429</v>
      </c>
      <c r="O66" s="30" t="n">
        <f aca="false">MAX(0,MIN(1,Nachbes-E66*Nachbes_Leer))</f>
        <v>0.588888888888889</v>
      </c>
      <c r="P66" s="31" t="n">
        <f aca="false">D66+(C66-D66)*N66*(1-O66)</f>
        <v>4.0483060515873</v>
      </c>
      <c r="Q66" s="30" t="n">
        <f aca="false">P66/C66</f>
        <v>0.112452945877425</v>
      </c>
      <c r="R66" s="30" t="n">
        <f aca="false">(F66*(1-Abg_1)*Neig_1+G66*(1-Abg_2)*Neig_2+H66*(1-Abg_3)*Neig_3+I66*(1-Abg_4)*Neig_4+J66*(1-Abg_5)*Neig_5)/MAX(0.0001,1-N66)</f>
        <v>0.583019484765267</v>
      </c>
      <c r="S66" s="30" t="n">
        <f aca="false">(C66-D66)*((1-N66)*R66+N66*O66*Neig_Neu)*L66/C66</f>
        <v>0.477959774925595</v>
      </c>
      <c r="T66" s="30" t="n">
        <f aca="false">IF(Anlagen!W66&lt;&gt;"",Anlagen!W66,IF(Quote_Modus=2,Quote_fest,IF(Szenario=2,S66,M66)))</f>
        <v>0.480306919642857</v>
      </c>
      <c r="U66" s="23" t="str">
        <f aca="false">IF(Anlagen!W66&lt;&gt;"","manuell",IF(Quote_Modus=2,"fest",IF(Szenario=2,"Alter, in 5 J.","Alter, heute")))</f>
        <v>Alter, heute</v>
      </c>
      <c r="V66" s="31" t="n">
        <f aca="false">C66*T66</f>
        <v>17.2910491071429</v>
      </c>
    </row>
    <row r="67" customFormat="false" ht="15" hidden="false" customHeight="false" outlineLevel="0" collapsed="false">
      <c r="A67" s="23" t="n">
        <f aca="false">Anlagen!A67</f>
        <v>63</v>
      </c>
      <c r="B67" s="23" t="str">
        <f aca="false">Anlagen!B67</f>
        <v>Morgenrot</v>
      </c>
      <c r="C67" s="23" t="n">
        <f aca="false">Anlagen!F67</f>
        <v>25</v>
      </c>
      <c r="D67" s="23" t="n">
        <f aca="false">Anlagen!G67</f>
        <v>1</v>
      </c>
      <c r="E67" s="30" t="n">
        <f aca="false">D67/C67</f>
        <v>0.04</v>
      </c>
      <c r="F67" s="30" t="n">
        <f aca="false">Anlagen!I67/MAX(0.0001,SUM(Anlagen!I67:M67))</f>
        <v>0.0581818181818182</v>
      </c>
      <c r="G67" s="30" t="n">
        <f aca="false">Anlagen!J67/MAX(0.0001,SUM(Anlagen!I67:M67))</f>
        <v>0.789090909090909</v>
      </c>
      <c r="H67" s="30" t="n">
        <f aca="false">Anlagen!K67/MAX(0.0001,SUM(Anlagen!I67:M67))</f>
        <v>0.152727272727273</v>
      </c>
      <c r="I67" s="30" t="n">
        <f aca="false">Anlagen!L67/MAX(0.0001,SUM(Anlagen!I67:M67))</f>
        <v>0</v>
      </c>
      <c r="J67" s="30" t="n">
        <f aca="false">Anlagen!M67/MAX(0.0001,SUM(Anlagen!I67:M67))</f>
        <v>0</v>
      </c>
      <c r="K67" s="30" t="n">
        <f aca="false">F67*Neig_1+G67*Neig_2+H67*Neig_3+I67*Neig_4+J67*Neig_5</f>
        <v>0.73</v>
      </c>
      <c r="L67" s="30" t="n">
        <f aca="false">IF(LEFT(Anlagen!D67,1)="A",Stufe_A,IF(LEFT(Anlagen!D67,1)="B",Stufe_B,IF(LEFT(Anlagen!D67,1)="C",Stufe_C,Stufe_D)))</f>
        <v>1</v>
      </c>
      <c r="M67" s="30" t="n">
        <f aca="false">K67*(1-E67)*L67</f>
        <v>0.7008</v>
      </c>
      <c r="N67" s="30" t="n">
        <f aca="false">F67*Abg_1+G67*Abg_2+H67*Abg_3+I67*Abg_4+J67*Abg_5</f>
        <v>0.0576363636363636</v>
      </c>
      <c r="O67" s="30" t="n">
        <f aca="false">MAX(0,MIN(1,Nachbes-E67*Nachbes_Leer))</f>
        <v>0.62</v>
      </c>
      <c r="P67" s="31" t="n">
        <f aca="false">D67+(C67-D67)*N67*(1-O67)</f>
        <v>1.52564363636364</v>
      </c>
      <c r="Q67" s="30" t="n">
        <f aca="false">P67/C67</f>
        <v>0.0610257454545455</v>
      </c>
      <c r="R67" s="30" t="n">
        <f aca="false">(F67*(1-Abg_1)*Neig_1+G67*(1-Abg_2)*Neig_2+H67*(1-Abg_3)*Neig_3+I67*(1-Abg_4)*Neig_4+J67*(1-Abg_5)*Neig_5)/MAX(0.0001,1-N67)</f>
        <v>0.731053443951379</v>
      </c>
      <c r="S67" s="30" t="n">
        <f aca="false">(C67-D67)*((1-N67)*R67+N67*O67*Neig_Neu)*L67/C67</f>
        <v>0.687090327272727</v>
      </c>
      <c r="T67" s="30" t="n">
        <f aca="false">IF(Anlagen!W67&lt;&gt;"",Anlagen!W67,IF(Quote_Modus=2,Quote_fest,IF(Szenario=2,S67,M67)))</f>
        <v>0.7008</v>
      </c>
      <c r="U67" s="23" t="str">
        <f aca="false">IF(Anlagen!W67&lt;&gt;"","manuell",IF(Quote_Modus=2,"fest",IF(Szenario=2,"Alter, in 5 J.","Alter, heute")))</f>
        <v>Alter, heute</v>
      </c>
      <c r="V67" s="31" t="n">
        <f aca="false">C67*T67</f>
        <v>17.52</v>
      </c>
    </row>
    <row r="68" customFormat="false" ht="15" hidden="false" customHeight="false" outlineLevel="0" collapsed="false">
      <c r="A68" s="23" t="n">
        <f aca="false">Anlagen!A68</f>
        <v>64</v>
      </c>
      <c r="B68" s="23" t="str">
        <f aca="false">Anlagen!B68</f>
        <v>Neues Leben</v>
      </c>
      <c r="C68" s="23" t="n">
        <f aca="false">Anlagen!F68</f>
        <v>62</v>
      </c>
      <c r="D68" s="23" t="n">
        <f aca="false">Anlagen!G68</f>
        <v>3</v>
      </c>
      <c r="E68" s="30" t="n">
        <f aca="false">D68/C68</f>
        <v>0.0483870967741936</v>
      </c>
      <c r="F68" s="30" t="n">
        <f aca="false">Anlagen!I68/MAX(0.0001,SUM(Anlagen!I68:M68))</f>
        <v>0.00563380281690141</v>
      </c>
      <c r="G68" s="30" t="n">
        <f aca="false">Anlagen!J68/MAX(0.0001,SUM(Anlagen!I68:M68))</f>
        <v>0.36056338028169</v>
      </c>
      <c r="H68" s="30" t="n">
        <f aca="false">Anlagen!K68/MAX(0.0001,SUM(Anlagen!I68:M68))</f>
        <v>0.454929577464789</v>
      </c>
      <c r="I68" s="30" t="n">
        <f aca="false">Anlagen!L68/MAX(0.0001,SUM(Anlagen!I68:M68))</f>
        <v>0.17887323943662</v>
      </c>
      <c r="J68" s="30" t="n">
        <f aca="false">Anlagen!M68/MAX(0.0001,SUM(Anlagen!I68:M68))</f>
        <v>0</v>
      </c>
      <c r="K68" s="30" t="n">
        <f aca="false">F68*Neig_1+G68*Neig_2+H68*Neig_3+I68*Neig_4+J68*Neig_5</f>
        <v>0.610492957746479</v>
      </c>
      <c r="L68" s="30" t="n">
        <f aca="false">IF(LEFT(Anlagen!D68,1)="A",Stufe_A,IF(LEFT(Anlagen!D68,1)="B",Stufe_B,IF(LEFT(Anlagen!D68,1)="C",Stufe_C,Stufe_D)))</f>
        <v>0.9</v>
      </c>
      <c r="M68" s="30" t="n">
        <f aca="false">K68*(1-E68)*L68</f>
        <v>0.522857678328033</v>
      </c>
      <c r="N68" s="30" t="n">
        <f aca="false">F68*Abg_1+G68*Abg_2+H68*Abg_3+I68*Abg_4+J68*Abg_5</f>
        <v>0.117464788732394</v>
      </c>
      <c r="O68" s="30" t="n">
        <f aca="false">MAX(0,MIN(1,Nachbes-E68*Nachbes_Leer))</f>
        <v>0.603225806451613</v>
      </c>
      <c r="P68" s="31" t="n">
        <f aca="false">D68+(C68-D68)*N68*(1-O68)</f>
        <v>5.74981281235802</v>
      </c>
      <c r="Q68" s="30" t="n">
        <f aca="false">P68/C68</f>
        <v>0.0927389163283552</v>
      </c>
      <c r="R68" s="30" t="n">
        <f aca="false">(F68*(1-Abg_1)*Neig_1+G68*(1-Abg_2)*Neig_2+H68*(1-Abg_3)*Neig_3+I68*(1-Abg_4)*Neig_4+J68*(1-Abg_5)*Neig_5)/MAX(0.0001,1-N68)</f>
        <v>0.62396265560166</v>
      </c>
      <c r="S68" s="30" t="n">
        <f aca="false">(C68-D68)*((1-N68)*R68+N68*O68*Neig_Neu)*L68/C68</f>
        <v>0.517136067916343</v>
      </c>
      <c r="T68" s="30" t="n">
        <f aca="false">IF(Anlagen!W68&lt;&gt;"",Anlagen!W68,IF(Quote_Modus=2,Quote_fest,IF(Szenario=2,S68,M68)))</f>
        <v>0.522857678328033</v>
      </c>
      <c r="U68" s="23" t="str">
        <f aca="false">IF(Anlagen!W68&lt;&gt;"","manuell",IF(Quote_Modus=2,"fest",IF(Szenario=2,"Alter, in 5 J.","Alter, heute")))</f>
        <v>Alter, heute</v>
      </c>
      <c r="V68" s="31" t="n">
        <f aca="false">C68*T68</f>
        <v>32.417176056338</v>
      </c>
    </row>
    <row r="69" customFormat="false" ht="15" hidden="false" customHeight="false" outlineLevel="0" collapsed="false">
      <c r="A69" s="23" t="n">
        <f aca="false">Anlagen!A69</f>
        <v>65</v>
      </c>
      <c r="B69" s="23" t="str">
        <f aca="false">Anlagen!B69</f>
        <v>Neu-Sanssouci</v>
      </c>
      <c r="C69" s="23" t="n">
        <f aca="false">Anlagen!F69</f>
        <v>77</v>
      </c>
      <c r="D69" s="23" t="n">
        <f aca="false">Anlagen!G69</f>
        <v>0</v>
      </c>
      <c r="E69" s="30" t="n">
        <f aca="false">D69/C69</f>
        <v>0</v>
      </c>
      <c r="F69" s="30" t="n">
        <f aca="false">Anlagen!I69/MAX(0.0001,SUM(Anlagen!I69:M69))</f>
        <v>0</v>
      </c>
      <c r="G69" s="30" t="n">
        <f aca="false">Anlagen!J69/MAX(0.0001,SUM(Anlagen!I69:M69))</f>
        <v>0.427738927738928</v>
      </c>
      <c r="H69" s="30" t="n">
        <f aca="false">Anlagen!K69/MAX(0.0001,SUM(Anlagen!I69:M69))</f>
        <v>0.406759906759907</v>
      </c>
      <c r="I69" s="30" t="n">
        <f aca="false">Anlagen!L69/MAX(0.0001,SUM(Anlagen!I69:M69))</f>
        <v>0.165501165501166</v>
      </c>
      <c r="J69" s="30" t="n">
        <f aca="false">Anlagen!M69/MAX(0.0001,SUM(Anlagen!I69:M69))</f>
        <v>0</v>
      </c>
      <c r="K69" s="30" t="n">
        <f aca="false">F69*Neig_1+G69*Neig_2+H69*Neig_3+I69*Neig_4+J69*Neig_5</f>
        <v>0.622785547785548</v>
      </c>
      <c r="L69" s="30" t="n">
        <f aca="false">IF(LEFT(Anlagen!D69,1)="A",Stufe_A,IF(LEFT(Anlagen!D69,1)="B",Stufe_B,IF(LEFT(Anlagen!D69,1)="C",Stufe_C,Stufe_D)))</f>
        <v>1</v>
      </c>
      <c r="M69" s="30" t="n">
        <f aca="false">K69*(1-E69)*L69</f>
        <v>0.622785547785548</v>
      </c>
      <c r="N69" s="30" t="n">
        <f aca="false">F69*Abg_1+G69*Abg_2+H69*Abg_3+I69*Abg_4+J69*Abg_5</f>
        <v>0.111713286713287</v>
      </c>
      <c r="O69" s="30" t="n">
        <f aca="false">MAX(0,MIN(1,Nachbes-E69*Nachbes_Leer))</f>
        <v>0.7</v>
      </c>
      <c r="P69" s="31" t="n">
        <f aca="false">D69+(C69-D69)*N69*(1-O69)</f>
        <v>2.58057692307692</v>
      </c>
      <c r="Q69" s="30" t="n">
        <f aca="false">P69/C69</f>
        <v>0.033513986013986</v>
      </c>
      <c r="R69" s="30" t="n">
        <f aca="false">(F69*(1-Abg_1)*Neig_1+G69*(1-Abg_2)*Neig_2+H69*(1-Abg_3)*Neig_3+I69*(1-Abg_4)*Neig_4+J69*(1-Abg_5)*Neig_5)/MAX(0.0001,1-N69)</f>
        <v>0.636013251984518</v>
      </c>
      <c r="S69" s="30" t="n">
        <f aca="false">(C69-D69)*((1-N69)*R69+N69*O69*Neig_Neu)*L69/C69</f>
        <v>0.623611596736597</v>
      </c>
      <c r="T69" s="30" t="n">
        <f aca="false">IF(Anlagen!W69&lt;&gt;"",Anlagen!W69,IF(Quote_Modus=2,Quote_fest,IF(Szenario=2,S69,M69)))</f>
        <v>0.622785547785548</v>
      </c>
      <c r="U69" s="23" t="str">
        <f aca="false">IF(Anlagen!W69&lt;&gt;"","manuell",IF(Quote_Modus=2,"fest",IF(Szenario=2,"Alter, in 5 J.","Alter, heute")))</f>
        <v>Alter, heute</v>
      </c>
      <c r="V69" s="31" t="n">
        <f aca="false">C69*T69</f>
        <v>47.9544871794872</v>
      </c>
    </row>
    <row r="70" customFormat="false" ht="15" hidden="false" customHeight="false" outlineLevel="0" collapsed="false">
      <c r="A70" s="23" t="n">
        <f aca="false">Anlagen!A70</f>
        <v>66</v>
      </c>
      <c r="B70" s="23" t="str">
        <f aca="false">Anlagen!B70</f>
        <v>Oase</v>
      </c>
      <c r="C70" s="23" t="n">
        <f aca="false">Anlagen!F70</f>
        <v>47</v>
      </c>
      <c r="D70" s="23" t="n">
        <f aca="false">Anlagen!G70</f>
        <v>0</v>
      </c>
      <c r="E70" s="30" t="n">
        <f aca="false">D70/C70</f>
        <v>0</v>
      </c>
      <c r="F70" s="30" t="n">
        <f aca="false">Anlagen!I70/MAX(0.0001,SUM(Anlagen!I70:M70))</f>
        <v>0.0648464163822526</v>
      </c>
      <c r="G70" s="30" t="n">
        <f aca="false">Anlagen!J70/MAX(0.0001,SUM(Anlagen!I70:M70))</f>
        <v>0.494880546075085</v>
      </c>
      <c r="H70" s="30" t="n">
        <f aca="false">Anlagen!K70/MAX(0.0001,SUM(Anlagen!I70:M70))</f>
        <v>0.426621160409556</v>
      </c>
      <c r="I70" s="30" t="n">
        <f aca="false">Anlagen!L70/MAX(0.0001,SUM(Anlagen!I70:M70))</f>
        <v>0.0136518771331058</v>
      </c>
      <c r="J70" s="30" t="n">
        <f aca="false">Anlagen!M70/MAX(0.0001,SUM(Anlagen!I70:M70))</f>
        <v>0</v>
      </c>
      <c r="K70" s="30" t="n">
        <f aca="false">F70*Neig_1+G70*Neig_2+H70*Neig_3+I70*Neig_4+J70*Neig_5</f>
        <v>0.683788395904437</v>
      </c>
      <c r="L70" s="30" t="n">
        <f aca="false">IF(LEFT(Anlagen!D70,1)="A",Stufe_A,IF(LEFT(Anlagen!D70,1)="B",Stufe_B,IF(LEFT(Anlagen!D70,1)="C",Stufe_C,Stufe_D)))</f>
        <v>1</v>
      </c>
      <c r="M70" s="30" t="n">
        <f aca="false">K70*(1-E70)*L70</f>
        <v>0.683788395904437</v>
      </c>
      <c r="N70" s="30" t="n">
        <f aca="false">F70*Abg_1+G70*Abg_2+H70*Abg_3+I70*Abg_4+J70*Abg_5</f>
        <v>0.0747440273037543</v>
      </c>
      <c r="O70" s="30" t="n">
        <f aca="false">MAX(0,MIN(1,Nachbes-E70*Nachbes_Leer))</f>
        <v>0.7</v>
      </c>
      <c r="P70" s="31" t="n">
        <f aca="false">D70+(C70-D70)*N70*(1-O70)</f>
        <v>1.05389078498294</v>
      </c>
      <c r="Q70" s="30" t="n">
        <f aca="false">P70/C70</f>
        <v>0.0224232081911263</v>
      </c>
      <c r="R70" s="30" t="n">
        <f aca="false">(F70*(1-Abg_1)*Neig_1+G70*(1-Abg_2)*Neig_2+H70*(1-Abg_3)*Neig_3+I70*(1-Abg_4)*Neig_4+J70*(1-Abg_5)*Neig_5)/MAX(0.0001,1-N70)</f>
        <v>0.686951309479897</v>
      </c>
      <c r="S70" s="30" t="n">
        <f aca="false">(C70-D70)*((1-N70)*R70+N70*O70*Neig_Neu)*L70/C70</f>
        <v>0.674846416382253</v>
      </c>
      <c r="T70" s="30" t="n">
        <f aca="false">IF(Anlagen!W70&lt;&gt;"",Anlagen!W70,IF(Quote_Modus=2,Quote_fest,IF(Szenario=2,S70,M70)))</f>
        <v>0.683788395904437</v>
      </c>
      <c r="U70" s="23" t="str">
        <f aca="false">IF(Anlagen!W70&lt;&gt;"","manuell",IF(Quote_Modus=2,"fest",IF(Szenario=2,"Alter, in 5 J.","Alter, heute")))</f>
        <v>Alter, heute</v>
      </c>
      <c r="V70" s="31" t="n">
        <f aca="false">C70*T70</f>
        <v>32.1380546075085</v>
      </c>
    </row>
    <row r="71" customFormat="false" ht="15" hidden="false" customHeight="false" outlineLevel="0" collapsed="false">
      <c r="A71" s="23" t="n">
        <f aca="false">Anlagen!A71</f>
        <v>67</v>
      </c>
      <c r="B71" s="23" t="str">
        <f aca="false">Anlagen!B71</f>
        <v>Pferdewiese</v>
      </c>
      <c r="C71" s="23" t="n">
        <f aca="false">Anlagen!F71</f>
        <v>55</v>
      </c>
      <c r="D71" s="23" t="n">
        <f aca="false">Anlagen!G71</f>
        <v>1</v>
      </c>
      <c r="E71" s="30" t="n">
        <f aca="false">D71/C71</f>
        <v>0.0181818181818182</v>
      </c>
      <c r="F71" s="30" t="n">
        <f aca="false">Anlagen!I71/MAX(0.0001,SUM(Anlagen!I71:M71))</f>
        <v>0.0245478036175711</v>
      </c>
      <c r="G71" s="30" t="n">
        <f aca="false">Anlagen!J71/MAX(0.0001,SUM(Anlagen!I71:M71))</f>
        <v>0.198966408268734</v>
      </c>
      <c r="H71" s="30" t="n">
        <f aca="false">Anlagen!K71/MAX(0.0001,SUM(Anlagen!I71:M71))</f>
        <v>0.542635658914729</v>
      </c>
      <c r="I71" s="30" t="n">
        <f aca="false">Anlagen!L71/MAX(0.0001,SUM(Anlagen!I71:M71))</f>
        <v>0.233850129198966</v>
      </c>
      <c r="J71" s="30" t="n">
        <f aca="false">Anlagen!M71/MAX(0.0001,SUM(Anlagen!I71:M71))</f>
        <v>0</v>
      </c>
      <c r="K71" s="30" t="n">
        <f aca="false">F71*Neig_1+G71*Neig_2+H71*Neig_3+I71*Neig_4+J71*Neig_5</f>
        <v>0.576291989664083</v>
      </c>
      <c r="L71" s="30" t="n">
        <f aca="false">IF(LEFT(Anlagen!D71,1)="A",Stufe_A,IF(LEFT(Anlagen!D71,1)="B",Stufe_B,IF(LEFT(Anlagen!D71,1)="C",Stufe_C,Stufe_D)))</f>
        <v>0.9</v>
      </c>
      <c r="M71" s="30" t="n">
        <f aca="false">K71*(1-E71)*L71</f>
        <v>0.509232558139535</v>
      </c>
      <c r="N71" s="30" t="n">
        <f aca="false">F71*Abg_1+G71*Abg_2+H71*Abg_3+I71*Abg_4+J71*Abg_5</f>
        <v>0.135594315245478</v>
      </c>
      <c r="O71" s="30" t="n">
        <f aca="false">MAX(0,MIN(1,Nachbes-E71*Nachbes_Leer))</f>
        <v>0.663636363636364</v>
      </c>
      <c r="P71" s="31" t="n">
        <f aca="false">D71+(C71-D71)*N71*(1-O71)</f>
        <v>3.46288583509514</v>
      </c>
      <c r="Q71" s="30" t="n">
        <f aca="false">P71/C71</f>
        <v>0.0629615606380934</v>
      </c>
      <c r="R71" s="30" t="n">
        <f aca="false">(F71*(1-Abg_1)*Neig_1+G71*(1-Abg_2)*Neig_2+H71*(1-Abg_3)*Neig_3+I71*(1-Abg_4)*Neig_4+J71*(1-Abg_5)*Neig_5)/MAX(0.0001,1-N71)</f>
        <v>0.590852701591809</v>
      </c>
      <c r="S71" s="30" t="n">
        <f aca="false">(C71-D71)*((1-N71)*R71+N71*O71*Neig_Neu)*L71/C71</f>
        <v>0.510941009994234</v>
      </c>
      <c r="T71" s="30" t="n">
        <f aca="false">IF(Anlagen!W71&lt;&gt;"",Anlagen!W71,IF(Quote_Modus=2,Quote_fest,IF(Szenario=2,S71,M71)))</f>
        <v>0.509232558139535</v>
      </c>
      <c r="U71" s="23" t="str">
        <f aca="false">IF(Anlagen!W71&lt;&gt;"","manuell",IF(Quote_Modus=2,"fest",IF(Szenario=2,"Alter, in 5 J.","Alter, heute")))</f>
        <v>Alter, heute</v>
      </c>
      <c r="V71" s="31" t="n">
        <f aca="false">C71*T71</f>
        <v>28.0077906976744</v>
      </c>
    </row>
    <row r="72" customFormat="false" ht="15" hidden="false" customHeight="false" outlineLevel="0" collapsed="false">
      <c r="A72" s="23" t="n">
        <f aca="false">Anlagen!A72</f>
        <v>68</v>
      </c>
      <c r="B72" s="23" t="str">
        <f aca="false">Anlagen!B72</f>
        <v>Plane II</v>
      </c>
      <c r="C72" s="23" t="n">
        <f aca="false">Anlagen!F72</f>
        <v>28</v>
      </c>
      <c r="D72" s="23" t="n">
        <f aca="false">Anlagen!G72</f>
        <v>0</v>
      </c>
      <c r="E72" s="30" t="n">
        <f aca="false">D72/C72</f>
        <v>0</v>
      </c>
      <c r="F72" s="30" t="n">
        <f aca="false">Anlagen!I72/MAX(0.0001,SUM(Anlagen!I72:M72))</f>
        <v>0.0199430199430199</v>
      </c>
      <c r="G72" s="30" t="n">
        <f aca="false">Anlagen!J72/MAX(0.0001,SUM(Anlagen!I72:M72))</f>
        <v>0.256410256410256</v>
      </c>
      <c r="H72" s="30" t="n">
        <f aca="false">Anlagen!K72/MAX(0.0001,SUM(Anlagen!I72:M72))</f>
        <v>0.561253561253561</v>
      </c>
      <c r="I72" s="30" t="n">
        <f aca="false">Anlagen!L72/MAX(0.0001,SUM(Anlagen!I72:M72))</f>
        <v>0.162393162393162</v>
      </c>
      <c r="J72" s="30" t="n">
        <f aca="false">Anlagen!M72/MAX(0.0001,SUM(Anlagen!I72:M72))</f>
        <v>0</v>
      </c>
      <c r="K72" s="30" t="n">
        <f aca="false">F72*Neig_1+G72*Neig_2+H72*Neig_3+I72*Neig_4+J72*Neig_5</f>
        <v>0.601851851851852</v>
      </c>
      <c r="L72" s="30" t="n">
        <f aca="false">IF(LEFT(Anlagen!D72,1)="A",Stufe_A,IF(LEFT(Anlagen!D72,1)="B",Stufe_B,IF(LEFT(Anlagen!D72,1)="C",Stufe_C,Stufe_D)))</f>
        <v>0.9</v>
      </c>
      <c r="M72" s="30" t="n">
        <f aca="false">K72*(1-E72)*L72</f>
        <v>0.541666666666667</v>
      </c>
      <c r="N72" s="30" t="n">
        <f aca="false">F72*Abg_1+G72*Abg_2+H72*Abg_3+I72*Abg_4+J72*Abg_5</f>
        <v>0.118660968660969</v>
      </c>
      <c r="O72" s="30" t="n">
        <f aca="false">MAX(0,MIN(1,Nachbes-E72*Nachbes_Leer))</f>
        <v>0.7</v>
      </c>
      <c r="P72" s="31" t="n">
        <f aca="false">D72+(C72-D72)*N72*(1-O72)</f>
        <v>0.996752136752137</v>
      </c>
      <c r="Q72" s="30" t="n">
        <f aca="false">P72/C72</f>
        <v>0.0355982905982906</v>
      </c>
      <c r="R72" s="30" t="n">
        <f aca="false">(F72*(1-Abg_1)*Neig_1+G72*(1-Abg_2)*Neig_2+H72*(1-Abg_3)*Neig_3+I72*(1-Abg_4)*Neig_4+J72*(1-Abg_5)*Neig_5)/MAX(0.0001,1-N72)</f>
        <v>0.613512203006304</v>
      </c>
      <c r="S72" s="30" t="n">
        <f aca="false">(C72-D72)*((1-N72)*R72+N72*O72*Neig_Neu)*L72/C72</f>
        <v>0.542708333333333</v>
      </c>
      <c r="T72" s="30" t="n">
        <f aca="false">IF(Anlagen!W72&lt;&gt;"",Anlagen!W72,IF(Quote_Modus=2,Quote_fest,IF(Szenario=2,S72,M72)))</f>
        <v>0.541666666666667</v>
      </c>
      <c r="U72" s="23" t="str">
        <f aca="false">IF(Anlagen!W72&lt;&gt;"","manuell",IF(Quote_Modus=2,"fest",IF(Szenario=2,"Alter, in 5 J.","Alter, heute")))</f>
        <v>Alter, heute</v>
      </c>
      <c r="V72" s="31" t="n">
        <f aca="false">C72*T72</f>
        <v>15.1666666666667</v>
      </c>
    </row>
    <row r="73" customFormat="false" ht="15" hidden="false" customHeight="false" outlineLevel="0" collapsed="false">
      <c r="A73" s="23" t="n">
        <f aca="false">Anlagen!A73</f>
        <v>69</v>
      </c>
      <c r="B73" s="23" t="str">
        <f aca="false">Anlagen!B73</f>
        <v>Platz der Einheit</v>
      </c>
      <c r="C73" s="23" t="n">
        <f aca="false">Anlagen!F73</f>
        <v>48</v>
      </c>
      <c r="D73" s="23" t="n">
        <f aca="false">Anlagen!G73</f>
        <v>1</v>
      </c>
      <c r="E73" s="30" t="n">
        <f aca="false">D73/C73</f>
        <v>0.0208333333333333</v>
      </c>
      <c r="F73" s="30" t="n">
        <f aca="false">Anlagen!I73/MAX(0.0001,SUM(Anlagen!I73:M73))</f>
        <v>0</v>
      </c>
      <c r="G73" s="30" t="n">
        <f aca="false">Anlagen!J73/MAX(0.0001,SUM(Anlagen!I73:M73))</f>
        <v>0.434210526315789</v>
      </c>
      <c r="H73" s="30" t="n">
        <f aca="false">Anlagen!K73/MAX(0.0001,SUM(Anlagen!I73:M73))</f>
        <v>0.440789473684211</v>
      </c>
      <c r="I73" s="30" t="n">
        <f aca="false">Anlagen!L73/MAX(0.0001,SUM(Anlagen!I73:M73))</f>
        <v>0.125</v>
      </c>
      <c r="J73" s="30" t="n">
        <f aca="false">Anlagen!M73/MAX(0.0001,SUM(Anlagen!I73:M73))</f>
        <v>0</v>
      </c>
      <c r="K73" s="30" t="n">
        <f aca="false">F73*Neig_1+G73*Neig_2+H73*Neig_3+I73*Neig_4+J73*Neig_5</f>
        <v>0.633881578947368</v>
      </c>
      <c r="L73" s="30" t="n">
        <f aca="false">IF(LEFT(Anlagen!D73,1)="A",Stufe_A,IF(LEFT(Anlagen!D73,1)="B",Stufe_B,IF(LEFT(Anlagen!D73,1)="C",Stufe_C,Stufe_D)))</f>
        <v>0.9</v>
      </c>
      <c r="M73" s="30" t="n">
        <f aca="false">K73*(1-E73)*L73</f>
        <v>0.558608141447368</v>
      </c>
      <c r="N73" s="30" t="n">
        <f aca="false">F73*Abg_1+G73*Abg_2+H73*Abg_3+I73*Abg_4+J73*Abg_5</f>
        <v>0.103289473684211</v>
      </c>
      <c r="O73" s="30" t="n">
        <f aca="false">MAX(0,MIN(1,Nachbes-E73*Nachbes_Leer))</f>
        <v>0.658333333333333</v>
      </c>
      <c r="P73" s="31" t="n">
        <f aca="false">D73+(C73-D73)*N73*(1-O73)</f>
        <v>2.65865679824561</v>
      </c>
      <c r="Q73" s="30" t="n">
        <f aca="false">P73/C73</f>
        <v>0.0553886832967836</v>
      </c>
      <c r="R73" s="30" t="n">
        <f aca="false">(F73*(1-Abg_1)*Neig_1+G73*(1-Abg_2)*Neig_2+H73*(1-Abg_3)*Neig_3+I73*(1-Abg_4)*Neig_4+J73*(1-Abg_5)*Neig_5)/MAX(0.0001,1-N73)</f>
        <v>0.644607483492296</v>
      </c>
      <c r="S73" s="30" t="n">
        <f aca="false">(C73-D73)*((1-N73)*R73+N73*O73*Neig_Neu)*L73/C73</f>
        <v>0.554328716077303</v>
      </c>
      <c r="T73" s="30" t="n">
        <f aca="false">IF(Anlagen!W73&lt;&gt;"",Anlagen!W73,IF(Quote_Modus=2,Quote_fest,IF(Szenario=2,S73,M73)))</f>
        <v>0.558608141447368</v>
      </c>
      <c r="U73" s="23" t="str">
        <f aca="false">IF(Anlagen!W73&lt;&gt;"","manuell",IF(Quote_Modus=2,"fest",IF(Szenario=2,"Alter, in 5 J.","Alter, heute")))</f>
        <v>Alter, heute</v>
      </c>
      <c r="V73" s="31" t="n">
        <f aca="false">C73*T73</f>
        <v>26.8131907894737</v>
      </c>
    </row>
    <row r="74" customFormat="false" ht="15" hidden="false" customHeight="false" outlineLevel="0" collapsed="false">
      <c r="A74" s="23" t="n">
        <f aca="false">Anlagen!A74</f>
        <v>70</v>
      </c>
      <c r="B74" s="23" t="str">
        <f aca="false">Anlagen!B74</f>
        <v>Sandfurth-Oase</v>
      </c>
      <c r="C74" s="23" t="n">
        <f aca="false">Anlagen!F74</f>
        <v>15</v>
      </c>
      <c r="D74" s="23" t="n">
        <f aca="false">Anlagen!G74</f>
        <v>0</v>
      </c>
      <c r="E74" s="30" t="n">
        <f aca="false">D74/C74</f>
        <v>0</v>
      </c>
      <c r="F74" s="30" t="n">
        <f aca="false">Anlagen!I74/MAX(0.0001,SUM(Anlagen!I74:M74))</f>
        <v>0.0253807106598985</v>
      </c>
      <c r="G74" s="30" t="n">
        <f aca="false">Anlagen!J74/MAX(0.0001,SUM(Anlagen!I74:M74))</f>
        <v>0.243654822335025</v>
      </c>
      <c r="H74" s="30" t="n">
        <f aca="false">Anlagen!K74/MAX(0.0001,SUM(Anlagen!I74:M74))</f>
        <v>0.563451776649746</v>
      </c>
      <c r="I74" s="30" t="n">
        <f aca="false">Anlagen!L74/MAX(0.0001,SUM(Anlagen!I74:M74))</f>
        <v>0.16751269035533</v>
      </c>
      <c r="J74" s="30" t="n">
        <f aca="false">Anlagen!M74/MAX(0.0001,SUM(Anlagen!I74:M74))</f>
        <v>0</v>
      </c>
      <c r="K74" s="30" t="n">
        <f aca="false">F74*Neig_1+G74*Neig_2+H74*Neig_3+I74*Neig_4+J74*Neig_5</f>
        <v>0.599746192893401</v>
      </c>
      <c r="L74" s="30" t="n">
        <f aca="false">IF(LEFT(Anlagen!D74,1)="A",Stufe_A,IF(LEFT(Anlagen!D74,1)="B",Stufe_B,IF(LEFT(Anlagen!D74,1)="C",Stufe_C,Stufe_D)))</f>
        <v>1</v>
      </c>
      <c r="M74" s="30" t="n">
        <f aca="false">K74*(1-E74)*L74</f>
        <v>0.599746192893401</v>
      </c>
      <c r="N74" s="30" t="n">
        <f aca="false">F74*Abg_1+G74*Abg_2+H74*Abg_3+I74*Abg_4+J74*Abg_5</f>
        <v>0.12005076142132</v>
      </c>
      <c r="O74" s="30" t="n">
        <f aca="false">MAX(0,MIN(1,Nachbes-E74*Nachbes_Leer))</f>
        <v>0.7</v>
      </c>
      <c r="P74" s="31" t="n">
        <f aca="false">D74+(C74-D74)*N74*(1-O74)</f>
        <v>0.540228426395939</v>
      </c>
      <c r="Q74" s="30" t="n">
        <f aca="false">P74/C74</f>
        <v>0.036015228426396</v>
      </c>
      <c r="R74" s="30" t="n">
        <f aca="false">(F74*(1-Abg_1)*Neig_1+G74*(1-Abg_2)*Neig_2+H74*(1-Abg_3)*Neig_3+I74*(1-Abg_4)*Neig_4+J74*(1-Abg_5)*Neig_5)/MAX(0.0001,1-N74)</f>
        <v>0.611623882319008</v>
      </c>
      <c r="S74" s="30" t="n">
        <f aca="false">(C74-D74)*((1-N74)*R74+N74*O74*Neig_Neu)*L74/C74</f>
        <v>0.60122461928934</v>
      </c>
      <c r="T74" s="30" t="n">
        <f aca="false">IF(Anlagen!W74&lt;&gt;"",Anlagen!W74,IF(Quote_Modus=2,Quote_fest,IF(Szenario=2,S74,M74)))</f>
        <v>0.599746192893401</v>
      </c>
      <c r="U74" s="23" t="str">
        <f aca="false">IF(Anlagen!W74&lt;&gt;"","manuell",IF(Quote_Modus=2,"fest",IF(Szenario=2,"Alter, in 5 J.","Alter, heute")))</f>
        <v>Alter, heute</v>
      </c>
      <c r="V74" s="31" t="n">
        <f aca="false">C74*T74</f>
        <v>8.99619289340102</v>
      </c>
    </row>
    <row r="75" customFormat="false" ht="15" hidden="false" customHeight="false" outlineLevel="0" collapsed="false">
      <c r="A75" s="23" t="n">
        <f aca="false">Anlagen!A75</f>
        <v>71</v>
      </c>
      <c r="B75" s="23" t="str">
        <f aca="false">Anlagen!B75</f>
        <v>Sanssouci</v>
      </c>
      <c r="C75" s="23" t="n">
        <f aca="false">Anlagen!F75</f>
        <v>39</v>
      </c>
      <c r="D75" s="23" t="n">
        <f aca="false">Anlagen!G75</f>
        <v>5</v>
      </c>
      <c r="E75" s="30" t="n">
        <f aca="false">D75/C75</f>
        <v>0.128205128205128</v>
      </c>
      <c r="F75" s="30" t="n">
        <f aca="false">Anlagen!I75/MAX(0.0001,SUM(Anlagen!I75:M75))</f>
        <v>0</v>
      </c>
      <c r="G75" s="30" t="n">
        <f aca="false">Anlagen!J75/MAX(0.0001,SUM(Anlagen!I75:M75))</f>
        <v>0.555555555555556</v>
      </c>
      <c r="H75" s="30" t="n">
        <f aca="false">Anlagen!K75/MAX(0.0001,SUM(Anlagen!I75:M75))</f>
        <v>0.315245478036176</v>
      </c>
      <c r="I75" s="30" t="n">
        <f aca="false">Anlagen!L75/MAX(0.0001,SUM(Anlagen!I75:M75))</f>
        <v>0.129198966408269</v>
      </c>
      <c r="J75" s="30" t="n">
        <f aca="false">Anlagen!M75/MAX(0.0001,SUM(Anlagen!I75:M75))</f>
        <v>0</v>
      </c>
      <c r="K75" s="30" t="n">
        <f aca="false">F75*Neig_1+G75*Neig_2+H75*Neig_3+I75*Neig_4+J75*Neig_5</f>
        <v>0.651033591731266</v>
      </c>
      <c r="L75" s="30" t="n">
        <f aca="false">IF(LEFT(Anlagen!D75,1)="A",Stufe_A,IF(LEFT(Anlagen!D75,1)="B",Stufe_B,IF(LEFT(Anlagen!D75,1)="C",Stufe_C,Stufe_D)))</f>
        <v>1</v>
      </c>
      <c r="M75" s="30" t="n">
        <f aca="false">K75*(1-E75)*L75</f>
        <v>0.567567746637514</v>
      </c>
      <c r="N75" s="30" t="n">
        <f aca="false">F75*Abg_1+G75*Abg_2+H75*Abg_3+I75*Abg_4+J75*Abg_5</f>
        <v>0.098062015503876</v>
      </c>
      <c r="O75" s="30" t="n">
        <f aca="false">MAX(0,MIN(1,Nachbes-E75*Nachbes_Leer))</f>
        <v>0.443589743589744</v>
      </c>
      <c r="P75" s="31" t="n">
        <f aca="false">D75+(C75-D75)*N75*(1-O75)</f>
        <v>6.85513218048102</v>
      </c>
      <c r="Q75" s="30" t="n">
        <f aca="false">P75/C75</f>
        <v>0.175772620012334</v>
      </c>
      <c r="R75" s="30" t="n">
        <f aca="false">(F75*(1-Abg_1)*Neig_1+G75*(1-Abg_2)*Neig_2+H75*(1-Abg_3)*Neig_3+I75*(1-Abg_4)*Neig_4+J75*(1-Abg_5)*Neig_5)/MAX(0.0001,1-N75)</f>
        <v>0.662705916057871</v>
      </c>
      <c r="S75" s="30" t="n">
        <f aca="false">(C75-D75)*((1-N75)*R75+N75*O75*Neig_Neu)*L75/C75</f>
        <v>0.549530768211448</v>
      </c>
      <c r="T75" s="30" t="n">
        <f aca="false">IF(Anlagen!W75&lt;&gt;"",Anlagen!W75,IF(Quote_Modus=2,Quote_fest,IF(Szenario=2,S75,M75)))</f>
        <v>0.567567746637514</v>
      </c>
      <c r="U75" s="23" t="str">
        <f aca="false">IF(Anlagen!W75&lt;&gt;"","manuell",IF(Quote_Modus=2,"fest",IF(Szenario=2,"Alter, in 5 J.","Alter, heute")))</f>
        <v>Alter, heute</v>
      </c>
      <c r="V75" s="31" t="n">
        <f aca="false">C75*T75</f>
        <v>22.135142118863</v>
      </c>
    </row>
    <row r="76" customFormat="false" ht="15" hidden="false" customHeight="false" outlineLevel="0" collapsed="false">
      <c r="A76" s="23" t="n">
        <f aca="false">Anlagen!A76</f>
        <v>72</v>
      </c>
      <c r="B76" s="23" t="str">
        <f aca="false">Anlagen!B76</f>
        <v>Sommerfreude I</v>
      </c>
      <c r="C76" s="23" t="n">
        <f aca="false">Anlagen!F76</f>
        <v>49</v>
      </c>
      <c r="D76" s="23" t="n">
        <f aca="false">Anlagen!G76</f>
        <v>1</v>
      </c>
      <c r="E76" s="30" t="n">
        <f aca="false">D76/C76</f>
        <v>0.0204081632653061</v>
      </c>
      <c r="F76" s="30" t="n">
        <f aca="false">Anlagen!I76/MAX(0.0001,SUM(Anlagen!I76:M76))</f>
        <v>0</v>
      </c>
      <c r="G76" s="30" t="n">
        <f aca="false">Anlagen!J76/MAX(0.0001,SUM(Anlagen!I76:M76))</f>
        <v>0.235294117647059</v>
      </c>
      <c r="H76" s="30" t="n">
        <f aca="false">Anlagen!K76/MAX(0.0001,SUM(Anlagen!I76:M76))</f>
        <v>0.498452012383901</v>
      </c>
      <c r="I76" s="30" t="n">
        <f aca="false">Anlagen!L76/MAX(0.0001,SUM(Anlagen!I76:M76))</f>
        <v>0.26625386996904</v>
      </c>
      <c r="J76" s="30" t="n">
        <f aca="false">Anlagen!M76/MAX(0.0001,SUM(Anlagen!I76:M76))</f>
        <v>0</v>
      </c>
      <c r="K76" s="30" t="n">
        <f aca="false">F76*Neig_1+G76*Neig_2+H76*Neig_3+I76*Neig_4+J76*Neig_5</f>
        <v>0.568730650154799</v>
      </c>
      <c r="L76" s="30" t="n">
        <f aca="false">IF(LEFT(Anlagen!D76,1)="A",Stufe_A,IF(LEFT(Anlagen!D76,1)="B",Stufe_B,IF(LEFT(Anlagen!D76,1)="C",Stufe_C,Stufe_D)))</f>
        <v>1</v>
      </c>
      <c r="M76" s="30" t="n">
        <f aca="false">K76*(1-E76)*L76</f>
        <v>0.557123902192456</v>
      </c>
      <c r="N76" s="30" t="n">
        <f aca="false">F76*Abg_1+G76*Abg_2+H76*Abg_3+I76*Abg_4+J76*Abg_5</f>
        <v>0.141486068111455</v>
      </c>
      <c r="O76" s="30" t="n">
        <f aca="false">MAX(0,MIN(1,Nachbes-E76*Nachbes_Leer))</f>
        <v>0.659183673469388</v>
      </c>
      <c r="P76" s="31" t="n">
        <f aca="false">D76+(C76-D76)*N76*(1-O76)</f>
        <v>3.31459657547229</v>
      </c>
      <c r="Q76" s="30" t="n">
        <f aca="false">P76/C76</f>
        <v>0.0676448280708632</v>
      </c>
      <c r="R76" s="30" t="n">
        <f aca="false">(F76*(1-Abg_1)*Neig_1+G76*(1-Abg_2)*Neig_2+H76*(1-Abg_3)*Neig_3+I76*(1-Abg_4)*Neig_4+J76*(1-Abg_5)*Neig_5)/MAX(0.0001,1-N76)</f>
        <v>0.58478182473855</v>
      </c>
      <c r="S76" s="30" t="n">
        <f aca="false">(C76-D76)*((1-N76)*R76+N76*O76*Neig_Neu)*L76/C76</f>
        <v>0.5603190105258</v>
      </c>
      <c r="T76" s="30" t="n">
        <f aca="false">IF(Anlagen!W76&lt;&gt;"",Anlagen!W76,IF(Quote_Modus=2,Quote_fest,IF(Szenario=2,S76,M76)))</f>
        <v>0.557123902192456</v>
      </c>
      <c r="U76" s="23" t="str">
        <f aca="false">IF(Anlagen!W76&lt;&gt;"","manuell",IF(Quote_Modus=2,"fest",IF(Szenario=2,"Alter, in 5 J.","Alter, heute")))</f>
        <v>Alter, heute</v>
      </c>
      <c r="V76" s="31" t="n">
        <f aca="false">C76*T76</f>
        <v>27.2990712074303</v>
      </c>
    </row>
    <row r="77" customFormat="false" ht="15" hidden="false" customHeight="false" outlineLevel="0" collapsed="false">
      <c r="A77" s="23" t="n">
        <f aca="false">Anlagen!A77</f>
        <v>73</v>
      </c>
      <c r="B77" s="23" t="str">
        <f aca="false">Anlagen!B77</f>
        <v>Sommerfreude II</v>
      </c>
      <c r="C77" s="23" t="n">
        <f aca="false">Anlagen!F77</f>
        <v>130</v>
      </c>
      <c r="D77" s="23" t="n">
        <f aca="false">Anlagen!G77</f>
        <v>1</v>
      </c>
      <c r="E77" s="30" t="n">
        <f aca="false">D77/C77</f>
        <v>0.00769230769230769</v>
      </c>
      <c r="F77" s="30" t="n">
        <f aca="false">Anlagen!I77/MAX(0.0001,SUM(Anlagen!I77:M77))</f>
        <v>0.0484581497797357</v>
      </c>
      <c r="G77" s="30" t="n">
        <f aca="false">Anlagen!J77/MAX(0.0001,SUM(Anlagen!I77:M77))</f>
        <v>0.259282567652612</v>
      </c>
      <c r="H77" s="30" t="n">
        <f aca="false">Anlagen!K77/MAX(0.0001,SUM(Anlagen!I77:M77))</f>
        <v>0.371932032724984</v>
      </c>
      <c r="I77" s="30" t="n">
        <f aca="false">Anlagen!L77/MAX(0.0001,SUM(Anlagen!I77:M77))</f>
        <v>0.320327249842668</v>
      </c>
      <c r="J77" s="30" t="n">
        <f aca="false">Anlagen!M77/MAX(0.0001,SUM(Anlagen!I77:M77))</f>
        <v>0</v>
      </c>
      <c r="K77" s="30" t="n">
        <f aca="false">F77*Neig_1+G77*Neig_2+H77*Neig_3+I77*Neig_4+J77*Neig_5</f>
        <v>0.568502202643172</v>
      </c>
      <c r="L77" s="30" t="n">
        <f aca="false">IF(LEFT(Anlagen!D77,1)="A",Stufe_A,IF(LEFT(Anlagen!D77,1)="B",Stufe_B,IF(LEFT(Anlagen!D77,1)="C",Stufe_C,Stufe_D)))</f>
        <v>1</v>
      </c>
      <c r="M77" s="30" t="n">
        <f aca="false">K77*(1-E77)*L77</f>
        <v>0.564129108776686</v>
      </c>
      <c r="N77" s="30" t="n">
        <f aca="false">F77*Abg_1+G77*Abg_2+H77*Abg_3+I77*Abg_4+J77*Abg_5</f>
        <v>0.148678414096916</v>
      </c>
      <c r="O77" s="30" t="n">
        <f aca="false">MAX(0,MIN(1,Nachbes-E77*Nachbes_Leer))</f>
        <v>0.684615384615385</v>
      </c>
      <c r="P77" s="31" t="n">
        <f aca="false">D77+(C77-D77)*N77*(1-O77)</f>
        <v>7.04892409352762</v>
      </c>
      <c r="Q77" s="30" t="n">
        <f aca="false">P77/C77</f>
        <v>0.0542224930271355</v>
      </c>
      <c r="R77" s="30" t="n">
        <f aca="false">(F77*(1-Abg_1)*Neig_1+G77*(1-Abg_2)*Neig_2+H77*(1-Abg_3)*Neig_3+I77*(1-Abg_4)*Neig_4+J77*(1-Abg_5)*Neig_5)/MAX(0.0001,1-N77)</f>
        <v>0.58836813897616</v>
      </c>
      <c r="S77" s="30" t="n">
        <f aca="false">(C77-D77)*((1-N77)*R77+N77*O77*Neig_Neu)*L77/C77</f>
        <v>0.572790904833899</v>
      </c>
      <c r="T77" s="30" t="n">
        <f aca="false">IF(Anlagen!W77&lt;&gt;"",Anlagen!W77,IF(Quote_Modus=2,Quote_fest,IF(Szenario=2,S77,M77)))</f>
        <v>0.564129108776686</v>
      </c>
      <c r="U77" s="23" t="str">
        <f aca="false">IF(Anlagen!W77&lt;&gt;"","manuell",IF(Quote_Modus=2,"fest",IF(Szenario=2,"Alter, in 5 J.","Alter, heute")))</f>
        <v>Alter, heute</v>
      </c>
      <c r="V77" s="31" t="n">
        <f aca="false">C77*T77</f>
        <v>73.3367841409692</v>
      </c>
    </row>
    <row r="78" customFormat="false" ht="15" hidden="false" customHeight="false" outlineLevel="0" collapsed="false">
      <c r="A78" s="23" t="n">
        <f aca="false">Anlagen!A78</f>
        <v>74</v>
      </c>
      <c r="B78" s="23" t="str">
        <f aca="false">Anlagen!B78</f>
        <v>Sonnenrot</v>
      </c>
      <c r="C78" s="23" t="n">
        <f aca="false">Anlagen!F78</f>
        <v>28</v>
      </c>
      <c r="D78" s="23" t="n">
        <f aca="false">Anlagen!G78</f>
        <v>0</v>
      </c>
      <c r="E78" s="30" t="n">
        <f aca="false">D78/C78</f>
        <v>0</v>
      </c>
      <c r="F78" s="30" t="n">
        <f aca="false">Anlagen!I78/MAX(0.0001,SUM(Anlagen!I78:M78))</f>
        <v>0.0551181102362205</v>
      </c>
      <c r="G78" s="30" t="n">
        <f aca="false">Anlagen!J78/MAX(0.0001,SUM(Anlagen!I78:M78))</f>
        <v>0.346456692913386</v>
      </c>
      <c r="H78" s="30" t="n">
        <f aca="false">Anlagen!K78/MAX(0.0001,SUM(Anlagen!I78:M78))</f>
        <v>0.364829396325459</v>
      </c>
      <c r="I78" s="30" t="n">
        <f aca="false">Anlagen!L78/MAX(0.0001,SUM(Anlagen!I78:M78))</f>
        <v>0.233595800524934</v>
      </c>
      <c r="J78" s="30" t="n">
        <f aca="false">Anlagen!M78/MAX(0.0001,SUM(Anlagen!I78:M78))</f>
        <v>0</v>
      </c>
      <c r="K78" s="30" t="n">
        <f aca="false">F78*Neig_1+G78*Neig_2+H78*Neig_3+I78*Neig_4+J78*Neig_5</f>
        <v>0.604593175853018</v>
      </c>
      <c r="L78" s="30" t="n">
        <f aca="false">IF(LEFT(Anlagen!D78,1)="A",Stufe_A,IF(LEFT(Anlagen!D78,1)="B",Stufe_B,IF(LEFT(Anlagen!D78,1)="C",Stufe_C,Stufe_D)))</f>
        <v>1</v>
      </c>
      <c r="M78" s="30" t="n">
        <f aca="false">K78*(1-E78)*L78</f>
        <v>0.604593175853018</v>
      </c>
      <c r="N78" s="30" t="n">
        <f aca="false">F78*Abg_1+G78*Abg_2+H78*Abg_3+I78*Abg_4+J78*Abg_5</f>
        <v>0.126640419947507</v>
      </c>
      <c r="O78" s="30" t="n">
        <f aca="false">MAX(0,MIN(1,Nachbes-E78*Nachbes_Leer))</f>
        <v>0.7</v>
      </c>
      <c r="P78" s="31" t="n">
        <f aca="false">D78+(C78-D78)*N78*(1-O78)</f>
        <v>1.06377952755906</v>
      </c>
      <c r="Q78" s="30" t="n">
        <f aca="false">P78/C78</f>
        <v>0.037992125984252</v>
      </c>
      <c r="R78" s="30" t="n">
        <f aca="false">(F78*(1-Abg_1)*Neig_1+G78*(1-Abg_2)*Neig_2+H78*(1-Abg_3)*Neig_3+I78*(1-Abg_4)*Neig_4+J78*(1-Abg_5)*Neig_5)/MAX(0.0001,1-N78)</f>
        <v>0.621712997746056</v>
      </c>
      <c r="S78" s="30" t="n">
        <f aca="false">(C78-D78)*((1-N78)*R78+N78*O78*Neig_Neu)*L78/C78</f>
        <v>0.609465223097113</v>
      </c>
      <c r="T78" s="30" t="n">
        <f aca="false">IF(Anlagen!W78&lt;&gt;"",Anlagen!W78,IF(Quote_Modus=2,Quote_fest,IF(Szenario=2,S78,M78)))</f>
        <v>0.604593175853018</v>
      </c>
      <c r="U78" s="23" t="str">
        <f aca="false">IF(Anlagen!W78&lt;&gt;"","manuell",IF(Quote_Modus=2,"fest",IF(Szenario=2,"Alter, in 5 J.","Alter, heute")))</f>
        <v>Alter, heute</v>
      </c>
      <c r="V78" s="31" t="n">
        <f aca="false">C78*T78</f>
        <v>16.9286089238845</v>
      </c>
    </row>
    <row r="79" customFormat="false" ht="15" hidden="false" customHeight="false" outlineLevel="0" collapsed="false">
      <c r="A79" s="23" t="n">
        <f aca="false">Anlagen!A79</f>
        <v>75</v>
      </c>
      <c r="B79" s="23" t="str">
        <f aca="false">Anlagen!B79</f>
        <v>Sonnenschein</v>
      </c>
      <c r="C79" s="23" t="n">
        <f aca="false">Anlagen!F79</f>
        <v>40</v>
      </c>
      <c r="D79" s="23" t="n">
        <f aca="false">Anlagen!G79</f>
        <v>1</v>
      </c>
      <c r="E79" s="30" t="n">
        <f aca="false">D79/C79</f>
        <v>0.025</v>
      </c>
      <c r="F79" s="30" t="n">
        <f aca="false">Anlagen!I79/MAX(0.0001,SUM(Anlagen!I79:M79))</f>
        <v>0.0430879712746858</v>
      </c>
      <c r="G79" s="30" t="n">
        <f aca="false">Anlagen!J79/MAX(0.0001,SUM(Anlagen!I79:M79))</f>
        <v>0.423698384201077</v>
      </c>
      <c r="H79" s="30" t="n">
        <f aca="false">Anlagen!K79/MAX(0.0001,SUM(Anlagen!I79:M79))</f>
        <v>0.411131059245961</v>
      </c>
      <c r="I79" s="30" t="n">
        <f aca="false">Anlagen!L79/MAX(0.0001,SUM(Anlagen!I79:M79))</f>
        <v>0.122082585278276</v>
      </c>
      <c r="J79" s="30" t="n">
        <f aca="false">Anlagen!M79/MAX(0.0001,SUM(Anlagen!I79:M79))</f>
        <v>0</v>
      </c>
      <c r="K79" s="30" t="n">
        <f aca="false">F79*Neig_1+G79*Neig_2+H79*Neig_3+I79*Neig_4+J79*Neig_5</f>
        <v>0.64165170556553</v>
      </c>
      <c r="L79" s="30" t="n">
        <f aca="false">IF(LEFT(Anlagen!D79,1)="A",Stufe_A,IF(LEFT(Anlagen!D79,1)="B",Stufe_B,IF(LEFT(Anlagen!D79,1)="C",Stufe_C,Stufe_D)))</f>
        <v>1</v>
      </c>
      <c r="M79" s="30" t="n">
        <f aca="false">K79*(1-E79)*L79</f>
        <v>0.625610412926391</v>
      </c>
      <c r="N79" s="30" t="n">
        <f aca="false">F79*Abg_1+G79*Abg_2+H79*Abg_3+I79*Abg_4+J79*Abg_5</f>
        <v>0.101077199281867</v>
      </c>
      <c r="O79" s="30" t="n">
        <f aca="false">MAX(0,MIN(1,Nachbes-E79*Nachbes_Leer))</f>
        <v>0.65</v>
      </c>
      <c r="P79" s="31" t="n">
        <f aca="false">D79+(C79-D79)*N79*(1-O79)</f>
        <v>2.37970377019749</v>
      </c>
      <c r="Q79" s="30" t="n">
        <f aca="false">P79/C79</f>
        <v>0.0594925942549372</v>
      </c>
      <c r="R79" s="30" t="n">
        <f aca="false">(F79*(1-Abg_1)*Neig_1+G79*(1-Abg_2)*Neig_2+H79*(1-Abg_3)*Neig_3+I79*(1-Abg_4)*Neig_4+J79*(1-Abg_5)*Neig_5)/MAX(0.0001,1-N79)</f>
        <v>0.652506490912722</v>
      </c>
      <c r="S79" s="30" t="n">
        <f aca="false">(C79-D79)*((1-N79)*R79+N79*O79*Neig_Neu)*L79/C79</f>
        <v>0.619932394524237</v>
      </c>
      <c r="T79" s="30" t="n">
        <f aca="false">IF(Anlagen!W79&lt;&gt;"",Anlagen!W79,IF(Quote_Modus=2,Quote_fest,IF(Szenario=2,S79,M79)))</f>
        <v>0.625610412926391</v>
      </c>
      <c r="U79" s="23" t="str">
        <f aca="false">IF(Anlagen!W79&lt;&gt;"","manuell",IF(Quote_Modus=2,"fest",IF(Szenario=2,"Alter, in 5 J.","Alter, heute")))</f>
        <v>Alter, heute</v>
      </c>
      <c r="V79" s="31" t="n">
        <f aca="false">C79*T79</f>
        <v>25.0244165170557</v>
      </c>
    </row>
    <row r="80" customFormat="false" ht="15" hidden="false" customHeight="false" outlineLevel="0" collapsed="false">
      <c r="A80" s="23" t="n">
        <f aca="false">Anlagen!A80</f>
        <v>76</v>
      </c>
      <c r="B80" s="23" t="str">
        <f aca="false">Anlagen!B80</f>
        <v>Sonnenwinkel</v>
      </c>
      <c r="C80" s="23" t="n">
        <f aca="false">Anlagen!F80</f>
        <v>48</v>
      </c>
      <c r="D80" s="23" t="n">
        <f aca="false">Anlagen!G80</f>
        <v>0</v>
      </c>
      <c r="E80" s="30" t="n">
        <f aca="false">D80/C80</f>
        <v>0</v>
      </c>
      <c r="F80" s="30" t="n">
        <f aca="false">Anlagen!I80/MAX(0.0001,SUM(Anlagen!I80:M80))</f>
        <v>0.00798722044728435</v>
      </c>
      <c r="G80" s="30" t="n">
        <f aca="false">Anlagen!J80/MAX(0.0001,SUM(Anlagen!I80:M80))</f>
        <v>0.408945686900959</v>
      </c>
      <c r="H80" s="30" t="n">
        <f aca="false">Anlagen!K80/MAX(0.0001,SUM(Anlagen!I80:M80))</f>
        <v>0.346645367412141</v>
      </c>
      <c r="I80" s="30" t="n">
        <f aca="false">Anlagen!L80/MAX(0.0001,SUM(Anlagen!I80:M80))</f>
        <v>0.236421725239617</v>
      </c>
      <c r="J80" s="30" t="n">
        <f aca="false">Anlagen!M80/MAX(0.0001,SUM(Anlagen!I80:M80))</f>
        <v>0</v>
      </c>
      <c r="K80" s="30" t="n">
        <f aca="false">F80*Neig_1+G80*Neig_2+H80*Neig_3+I80*Neig_4+J80*Neig_5</f>
        <v>0.603833865814697</v>
      </c>
      <c r="L80" s="30" t="n">
        <f aca="false">IF(LEFT(Anlagen!D80,1)="A",Stufe_A,IF(LEFT(Anlagen!D80,1)="B",Stufe_B,IF(LEFT(Anlagen!D80,1)="C",Stufe_C,Stufe_D)))</f>
        <v>1</v>
      </c>
      <c r="M80" s="30" t="n">
        <f aca="false">K80*(1-E80)*L80</f>
        <v>0.603833865814697</v>
      </c>
      <c r="N80" s="30" t="n">
        <f aca="false">F80*Abg_1+G80*Abg_2+H80*Abg_3+I80*Abg_4+J80*Abg_5</f>
        <v>0.126437699680511</v>
      </c>
      <c r="O80" s="30" t="n">
        <f aca="false">MAX(0,MIN(1,Nachbes-E80*Nachbes_Leer))</f>
        <v>0.7</v>
      </c>
      <c r="P80" s="31" t="n">
        <f aca="false">D80+(C80-D80)*N80*(1-O80)</f>
        <v>1.82070287539936</v>
      </c>
      <c r="Q80" s="30" t="n">
        <f aca="false">P80/C80</f>
        <v>0.0379313099041534</v>
      </c>
      <c r="R80" s="30" t="n">
        <f aca="false">(F80*(1-Abg_1)*Neig_1+G80*(1-Abg_2)*Neig_2+H80*(1-Abg_3)*Neig_3+I80*(1-Abg_4)*Neig_4+J80*(1-Abg_5)*Neig_5)/MAX(0.0001,1-N80)</f>
        <v>0.621084392429368</v>
      </c>
      <c r="S80" s="30" t="n">
        <f aca="false">(C80-D80)*((1-N80)*R80+N80*O80*Neig_Neu)*L80/C80</f>
        <v>0.608935702875399</v>
      </c>
      <c r="T80" s="30" t="n">
        <f aca="false">IF(Anlagen!W80&lt;&gt;"",Anlagen!W80,IF(Quote_Modus=2,Quote_fest,IF(Szenario=2,S80,M80)))</f>
        <v>0.603833865814697</v>
      </c>
      <c r="U80" s="23" t="str">
        <f aca="false">IF(Anlagen!W80&lt;&gt;"","manuell",IF(Quote_Modus=2,"fest",IF(Szenario=2,"Alter, in 5 J.","Alter, heute")))</f>
        <v>Alter, heute</v>
      </c>
      <c r="V80" s="31" t="n">
        <f aca="false">C80*T80</f>
        <v>28.9840255591054</v>
      </c>
    </row>
    <row r="81" customFormat="false" ht="15" hidden="false" customHeight="false" outlineLevel="0" collapsed="false">
      <c r="A81" s="23" t="n">
        <f aca="false">Anlagen!A81</f>
        <v>77</v>
      </c>
      <c r="B81" s="23" t="str">
        <f aca="false">Anlagen!B81</f>
        <v>Sorgenfrei I</v>
      </c>
      <c r="C81" s="23" t="n">
        <f aca="false">Anlagen!F81</f>
        <v>45</v>
      </c>
      <c r="D81" s="23" t="n">
        <f aca="false">Anlagen!G81</f>
        <v>2</v>
      </c>
      <c r="E81" s="30" t="n">
        <f aca="false">D81/C81</f>
        <v>0.0444444444444444</v>
      </c>
      <c r="F81" s="30" t="n">
        <f aca="false">Anlagen!I81/MAX(0.0001,SUM(Anlagen!I81:M81))</f>
        <v>0.0336134453781513</v>
      </c>
      <c r="G81" s="30" t="n">
        <f aca="false">Anlagen!J81/MAX(0.0001,SUM(Anlagen!I81:M81))</f>
        <v>0.420168067226891</v>
      </c>
      <c r="H81" s="30" t="n">
        <f aca="false">Anlagen!K81/MAX(0.0001,SUM(Anlagen!I81:M81))</f>
        <v>0.397058823529412</v>
      </c>
      <c r="I81" s="30" t="n">
        <f aca="false">Anlagen!L81/MAX(0.0001,SUM(Anlagen!I81:M81))</f>
        <v>0.149159663865546</v>
      </c>
      <c r="J81" s="30" t="n">
        <f aca="false">Anlagen!M81/MAX(0.0001,SUM(Anlagen!I81:M81))</f>
        <v>0</v>
      </c>
      <c r="K81" s="30" t="n">
        <f aca="false">F81*Neig_1+G81*Neig_2+H81*Neig_3+I81*Neig_4+J81*Neig_5</f>
        <v>0.632457983193277</v>
      </c>
      <c r="L81" s="30" t="n">
        <f aca="false">IF(LEFT(Anlagen!D81,1)="A",Stufe_A,IF(LEFT(Anlagen!D81,1)="B",Stufe_B,IF(LEFT(Anlagen!D81,1)="C",Stufe_C,Stufe_D)))</f>
        <v>1</v>
      </c>
      <c r="M81" s="30" t="n">
        <f aca="false">K81*(1-E81)*L81</f>
        <v>0.604348739495798</v>
      </c>
      <c r="N81" s="30" t="n">
        <f aca="false">F81*Abg_1+G81*Abg_2+H81*Abg_3+I81*Abg_4+J81*Abg_5</f>
        <v>0.107142857142857</v>
      </c>
      <c r="O81" s="30" t="n">
        <f aca="false">MAX(0,MIN(1,Nachbes-E81*Nachbes_Leer))</f>
        <v>0.611111111111111</v>
      </c>
      <c r="P81" s="31" t="n">
        <f aca="false">D81+(C81-D81)*N81*(1-O81)</f>
        <v>3.79166666666667</v>
      </c>
      <c r="Q81" s="30" t="n">
        <f aca="false">P81/C81</f>
        <v>0.0842592592592593</v>
      </c>
      <c r="R81" s="30" t="n">
        <f aca="false">(F81*(1-Abg_1)*Neig_1+G81*(1-Abg_2)*Neig_2+H81*(1-Abg_3)*Neig_3+I81*(1-Abg_4)*Neig_4+J81*(1-Abg_5)*Neig_5)/MAX(0.0001,1-N81)</f>
        <v>0.644976470588235</v>
      </c>
      <c r="S81" s="30" t="n">
        <f aca="false">(C81-D81)*((1-N81)*R81+N81*O81*Neig_Neu)*L81/C81</f>
        <v>0.597202147525677</v>
      </c>
      <c r="T81" s="30" t="n">
        <f aca="false">IF(Anlagen!W81&lt;&gt;"",Anlagen!W81,IF(Quote_Modus=2,Quote_fest,IF(Szenario=2,S81,M81)))</f>
        <v>0.604348739495798</v>
      </c>
      <c r="U81" s="23" t="str">
        <f aca="false">IF(Anlagen!W81&lt;&gt;"","manuell",IF(Quote_Modus=2,"fest",IF(Szenario=2,"Alter, in 5 J.","Alter, heute")))</f>
        <v>Alter, heute</v>
      </c>
      <c r="V81" s="31" t="n">
        <f aca="false">C81*T81</f>
        <v>27.1956932773109</v>
      </c>
    </row>
    <row r="82" customFormat="false" ht="15" hidden="false" customHeight="false" outlineLevel="0" collapsed="false">
      <c r="A82" s="23" t="n">
        <f aca="false">Anlagen!A82</f>
        <v>78</v>
      </c>
      <c r="B82" s="23" t="str">
        <f aca="false">Anlagen!B82</f>
        <v>Sorgenfrei II</v>
      </c>
      <c r="C82" s="23" t="n">
        <f aca="false">Anlagen!F82</f>
        <v>23</v>
      </c>
      <c r="D82" s="23" t="n">
        <f aca="false">Anlagen!G82</f>
        <v>2</v>
      </c>
      <c r="E82" s="30" t="n">
        <f aca="false">D82/C82</f>
        <v>0.0869565217391304</v>
      </c>
      <c r="F82" s="30" t="n">
        <f aca="false">Anlagen!I82/MAX(0.0001,SUM(Anlagen!I82:M82))</f>
        <v>0</v>
      </c>
      <c r="G82" s="30" t="n">
        <f aca="false">Anlagen!J82/MAX(0.0001,SUM(Anlagen!I82:M82))</f>
        <v>0.338870431893688</v>
      </c>
      <c r="H82" s="30" t="n">
        <f aca="false">Anlagen!K82/MAX(0.0001,SUM(Anlagen!I82:M82))</f>
        <v>0.53156146179402</v>
      </c>
      <c r="I82" s="30" t="n">
        <f aca="false">Anlagen!L82/MAX(0.0001,SUM(Anlagen!I82:M82))</f>
        <v>0.129568106312292</v>
      </c>
      <c r="J82" s="30" t="n">
        <f aca="false">Anlagen!M82/MAX(0.0001,SUM(Anlagen!I82:M82))</f>
        <v>0</v>
      </c>
      <c r="K82" s="30" t="n">
        <f aca="false">F82*Neig_1+G82*Neig_2+H82*Neig_3+I82*Neig_4+J82*Neig_5</f>
        <v>0.61843853820598</v>
      </c>
      <c r="L82" s="30" t="n">
        <f aca="false">IF(LEFT(Anlagen!D82,1)="A",Stufe_A,IF(LEFT(Anlagen!D82,1)="B",Stufe_B,IF(LEFT(Anlagen!D82,1)="C",Stufe_C,Stufe_D)))</f>
        <v>1</v>
      </c>
      <c r="M82" s="30" t="n">
        <f aca="false">K82*(1-E82)*L82</f>
        <v>0.564661274014156</v>
      </c>
      <c r="N82" s="30" t="n">
        <f aca="false">F82*Abg_1+G82*Abg_2+H82*Abg_3+I82*Abg_4+J82*Abg_5</f>
        <v>0.108970099667774</v>
      </c>
      <c r="O82" s="30" t="n">
        <f aca="false">MAX(0,MIN(1,Nachbes-E82*Nachbes_Leer))</f>
        <v>0.526086956521739</v>
      </c>
      <c r="P82" s="31" t="n">
        <f aca="false">D82+(C82-D82)*N82*(1-O82)</f>
        <v>3.08448938321537</v>
      </c>
      <c r="Q82" s="30" t="n">
        <f aca="false">P82/C82</f>
        <v>0.134108234052842</v>
      </c>
      <c r="R82" s="30" t="n">
        <f aca="false">(F82*(1-Abg_1)*Neig_1+G82*(1-Abg_2)*Neig_2+H82*(1-Abg_3)*Neig_3+I82*(1-Abg_4)*Neig_4+J82*(1-Abg_5)*Neig_5)/MAX(0.0001,1-N82)</f>
        <v>0.628747203579418</v>
      </c>
      <c r="S82" s="30" t="n">
        <f aca="false">(C82-D82)*((1-N82)*R82+N82*O82*Neig_Neu)*L82/C82</f>
        <v>0.550773728403746</v>
      </c>
      <c r="T82" s="30" t="n">
        <f aca="false">IF(Anlagen!W82&lt;&gt;"",Anlagen!W82,IF(Quote_Modus=2,Quote_fest,IF(Szenario=2,S82,M82)))</f>
        <v>0.564661274014156</v>
      </c>
      <c r="U82" s="23" t="str">
        <f aca="false">IF(Anlagen!W82&lt;&gt;"","manuell",IF(Quote_Modus=2,"fest",IF(Szenario=2,"Alter, in 5 J.","Alter, heute")))</f>
        <v>Alter, heute</v>
      </c>
      <c r="V82" s="31" t="n">
        <f aca="false">C82*T82</f>
        <v>12.9872093023256</v>
      </c>
    </row>
    <row r="83" customFormat="false" ht="15" hidden="false" customHeight="false" outlineLevel="0" collapsed="false">
      <c r="A83" s="23" t="n">
        <f aca="false">Anlagen!A83</f>
        <v>79</v>
      </c>
      <c r="B83" s="23" t="str">
        <f aca="false">Anlagen!B83</f>
        <v>Sportpark</v>
      </c>
      <c r="C83" s="23" t="n">
        <f aca="false">Anlagen!F83</f>
        <v>37</v>
      </c>
      <c r="D83" s="23" t="n">
        <f aca="false">Anlagen!G83</f>
        <v>1</v>
      </c>
      <c r="E83" s="30" t="n">
        <f aca="false">D83/C83</f>
        <v>0.027027027027027</v>
      </c>
      <c r="F83" s="30" t="n">
        <f aca="false">Anlagen!I83/MAX(0.0001,SUM(Anlagen!I83:M83))</f>
        <v>0.0143737166324435</v>
      </c>
      <c r="G83" s="30" t="n">
        <f aca="false">Anlagen!J83/MAX(0.0001,SUM(Anlagen!I83:M83))</f>
        <v>0.24435318275154</v>
      </c>
      <c r="H83" s="30" t="n">
        <f aca="false">Anlagen!K83/MAX(0.0001,SUM(Anlagen!I83:M83))</f>
        <v>0.349075975359343</v>
      </c>
      <c r="I83" s="30" t="n">
        <f aca="false">Anlagen!L83/MAX(0.0001,SUM(Anlagen!I83:M83))</f>
        <v>0.379876796714579</v>
      </c>
      <c r="J83" s="30" t="n">
        <f aca="false">Anlagen!M83/MAX(0.0001,SUM(Anlagen!I83:M83))</f>
        <v>0.0123203285420945</v>
      </c>
      <c r="K83" s="30" t="n">
        <f aca="false">F83*Neig_1+G83*Neig_2+H83*Neig_3+I83*Neig_4+J83*Neig_5</f>
        <v>0.538398357289528</v>
      </c>
      <c r="L83" s="30" t="n">
        <f aca="false">IF(LEFT(Anlagen!D83,1)="A",Stufe_A,IF(LEFT(Anlagen!D83,1)="B",Stufe_B,IF(LEFT(Anlagen!D83,1)="C",Stufe_C,Stufe_D)))</f>
        <v>0.9</v>
      </c>
      <c r="M83" s="30" t="n">
        <f aca="false">K83*(1-E83)*L83</f>
        <v>0.471462345302181</v>
      </c>
      <c r="N83" s="30" t="n">
        <f aca="false">F83*Abg_1+G83*Abg_2+H83*Abg_3+I83*Abg_4+J83*Abg_5</f>
        <v>0.169199178644764</v>
      </c>
      <c r="O83" s="30" t="n">
        <f aca="false">MAX(0,MIN(1,Nachbes-E83*Nachbes_Leer))</f>
        <v>0.645945945945946</v>
      </c>
      <c r="P83" s="31" t="n">
        <f aca="false">D83+(C83-D83)*N83*(1-O83)</f>
        <v>3.15660358510461</v>
      </c>
      <c r="Q83" s="30" t="n">
        <f aca="false">P83/C83</f>
        <v>0.0853136104082328</v>
      </c>
      <c r="R83" s="30" t="n">
        <f aca="false">(F83*(1-Abg_1)*Neig_1+G83*(1-Abg_2)*Neig_2+H83*(1-Abg_3)*Neig_3+I83*(1-Abg_4)*Neig_4+J83*(1-Abg_5)*Neig_5)/MAX(0.0001,1-N83)</f>
        <v>0.562215768660405</v>
      </c>
      <c r="S83" s="30" t="n">
        <f aca="false">(C83-D83)*((1-N83)*R83+N83*O83*Neig_Neu)*L83/C83</f>
        <v>0.480798018008018</v>
      </c>
      <c r="T83" s="30" t="n">
        <f aca="false">IF(Anlagen!W83&lt;&gt;"",Anlagen!W83,IF(Quote_Modus=2,Quote_fest,IF(Szenario=2,S83,M83)))</f>
        <v>0.471462345302181</v>
      </c>
      <c r="U83" s="23" t="str">
        <f aca="false">IF(Anlagen!W83&lt;&gt;"","manuell",IF(Quote_Modus=2,"fest",IF(Szenario=2,"Alter, in 5 J.","Alter, heute")))</f>
        <v>Alter, heute</v>
      </c>
      <c r="V83" s="31" t="n">
        <f aca="false">C83*T83</f>
        <v>17.4441067761807</v>
      </c>
    </row>
    <row r="84" customFormat="false" ht="15" hidden="false" customHeight="false" outlineLevel="0" collapsed="false">
      <c r="A84" s="23" t="n">
        <f aca="false">Anlagen!A84</f>
        <v>80</v>
      </c>
      <c r="B84" s="23" t="str">
        <f aca="false">Anlagen!B84</f>
        <v>Stiller Winkel</v>
      </c>
      <c r="C84" s="23" t="n">
        <f aca="false">Anlagen!F84</f>
        <v>50</v>
      </c>
      <c r="D84" s="23" t="n">
        <f aca="false">Anlagen!G84</f>
        <v>2</v>
      </c>
      <c r="E84" s="30" t="n">
        <f aca="false">D84/C84</f>
        <v>0.04</v>
      </c>
      <c r="F84" s="30" t="n">
        <f aca="false">Anlagen!I84/MAX(0.0001,SUM(Anlagen!I84:M84))</f>
        <v>0.00476190476190476</v>
      </c>
      <c r="G84" s="30" t="n">
        <f aca="false">Anlagen!J84/MAX(0.0001,SUM(Anlagen!I84:M84))</f>
        <v>0.314285714285714</v>
      </c>
      <c r="H84" s="30" t="n">
        <f aca="false">Anlagen!K84/MAX(0.0001,SUM(Anlagen!I84:M84))</f>
        <v>0.392063492063492</v>
      </c>
      <c r="I84" s="30" t="n">
        <f aca="false">Anlagen!L84/MAX(0.0001,SUM(Anlagen!I84:M84))</f>
        <v>0.288888888888889</v>
      </c>
      <c r="J84" s="30" t="n">
        <f aca="false">Anlagen!M84/MAX(0.0001,SUM(Anlagen!I84:M84))</f>
        <v>0</v>
      </c>
      <c r="K84" s="30" t="n">
        <f aca="false">F84*Neig_1+G84*Neig_2+H84*Neig_3+I84*Neig_4+J84*Neig_5</f>
        <v>0.575873015873016</v>
      </c>
      <c r="L84" s="30" t="n">
        <f aca="false">IF(LEFT(Anlagen!D84,1)="A",Stufe_A,IF(LEFT(Anlagen!D84,1)="B",Stufe_B,IF(LEFT(Anlagen!D84,1)="C",Stufe_C,Stufe_D)))</f>
        <v>1</v>
      </c>
      <c r="M84" s="30" t="n">
        <f aca="false">K84*(1-E84)*L84</f>
        <v>0.552838095238095</v>
      </c>
      <c r="N84" s="30" t="n">
        <f aca="false">F84*Abg_1+G84*Abg_2+H84*Abg_3+I84*Abg_4+J84*Abg_5</f>
        <v>0.141825396825397</v>
      </c>
      <c r="O84" s="30" t="n">
        <f aca="false">MAX(0,MIN(1,Nachbes-E84*Nachbes_Leer))</f>
        <v>0.62</v>
      </c>
      <c r="P84" s="31" t="n">
        <f aca="false">D84+(C84-D84)*N84*(1-O84)</f>
        <v>4.58689523809524</v>
      </c>
      <c r="Q84" s="30" t="n">
        <f aca="false">P84/C84</f>
        <v>0.0917379047619048</v>
      </c>
      <c r="R84" s="30" t="n">
        <f aca="false">(F84*(1-Abg_1)*Neig_1+G84*(1-Abg_2)*Neig_2+H84*(1-Abg_3)*Neig_3+I84*(1-Abg_4)*Neig_4+J84*(1-Abg_5)*Neig_5)/MAX(0.0001,1-N84)</f>
        <v>0.594330897993156</v>
      </c>
      <c r="S84" s="30" t="n">
        <f aca="false">(C84-D84)*((1-N84)*R84+N84*O84*Neig_Neu)*L84/C84</f>
        <v>0.552948952380952</v>
      </c>
      <c r="T84" s="30" t="n">
        <f aca="false">IF(Anlagen!W84&lt;&gt;"",Anlagen!W84,IF(Quote_Modus=2,Quote_fest,IF(Szenario=2,S84,M84)))</f>
        <v>0.552838095238095</v>
      </c>
      <c r="U84" s="23" t="str">
        <f aca="false">IF(Anlagen!W84&lt;&gt;"","manuell",IF(Quote_Modus=2,"fest",IF(Szenario=2,"Alter, in 5 J.","Alter, heute")))</f>
        <v>Alter, heute</v>
      </c>
      <c r="V84" s="31" t="n">
        <f aca="false">C84*T84</f>
        <v>27.6419047619048</v>
      </c>
    </row>
    <row r="85" customFormat="false" ht="15" hidden="false" customHeight="false" outlineLevel="0" collapsed="false">
      <c r="A85" s="23" t="n">
        <f aca="false">Anlagen!A85</f>
        <v>81</v>
      </c>
      <c r="B85" s="23" t="str">
        <f aca="false">Anlagen!B85</f>
        <v>Traumland</v>
      </c>
      <c r="C85" s="23" t="n">
        <f aca="false">Anlagen!F85</f>
        <v>49</v>
      </c>
      <c r="D85" s="23" t="n">
        <f aca="false">Anlagen!G85</f>
        <v>1</v>
      </c>
      <c r="E85" s="30" t="n">
        <f aca="false">D85/C85</f>
        <v>0.0204081632653061</v>
      </c>
      <c r="F85" s="30" t="n">
        <f aca="false">Anlagen!I85/MAX(0.0001,SUM(Anlagen!I85:M85))</f>
        <v>0</v>
      </c>
      <c r="G85" s="30" t="n">
        <f aca="false">Anlagen!J85/MAX(0.0001,SUM(Anlagen!I85:M85))</f>
        <v>0.324376199616123</v>
      </c>
      <c r="H85" s="30" t="n">
        <f aca="false">Anlagen!K85/MAX(0.0001,SUM(Anlagen!I85:M85))</f>
        <v>0.506717850287908</v>
      </c>
      <c r="I85" s="30" t="n">
        <f aca="false">Anlagen!L85/MAX(0.0001,SUM(Anlagen!I85:M85))</f>
        <v>0.168905950095969</v>
      </c>
      <c r="J85" s="30" t="n">
        <f aca="false">Anlagen!M85/MAX(0.0001,SUM(Anlagen!I85:M85))</f>
        <v>0</v>
      </c>
      <c r="K85" s="30" t="n">
        <f aca="false">F85*Neig_1+G85*Neig_2+H85*Neig_3+I85*Neig_4+J85*Neig_5</f>
        <v>0.606429942418426</v>
      </c>
      <c r="L85" s="30" t="n">
        <f aca="false">IF(LEFT(Anlagen!D85,1)="A",Stufe_A,IF(LEFT(Anlagen!D85,1)="B",Stufe_B,IF(LEFT(Anlagen!D85,1)="C",Stufe_C,Stufe_D)))</f>
        <v>1</v>
      </c>
      <c r="M85" s="30" t="n">
        <f aca="false">K85*(1-E85)*L85</f>
        <v>0.594053821144581</v>
      </c>
      <c r="N85" s="30" t="n">
        <f aca="false">F85*Abg_1+G85*Abg_2+H85*Abg_3+I85*Abg_4+J85*Abg_5</f>
        <v>0.117562380038388</v>
      </c>
      <c r="O85" s="30" t="n">
        <f aca="false">MAX(0,MIN(1,Nachbes-E85*Nachbes_Leer))</f>
        <v>0.659183673469388</v>
      </c>
      <c r="P85" s="31" t="n">
        <f aca="false">D85+(C85-D85)*N85*(1-O85)</f>
        <v>2.9232245681382</v>
      </c>
      <c r="Q85" s="30" t="n">
        <f aca="false">P85/C85</f>
        <v>0.0596576442477183</v>
      </c>
      <c r="R85" s="30" t="n">
        <f aca="false">(F85*(1-Abg_1)*Neig_1+G85*(1-Abg_2)*Neig_2+H85*(1-Abg_3)*Neig_3+I85*(1-Abg_4)*Neig_4+J85*(1-Abg_5)*Neig_5)/MAX(0.0001,1-N85)</f>
        <v>0.618885263730288</v>
      </c>
      <c r="S85" s="30" t="n">
        <f aca="false">(C85-D85)*((1-N85)*R85+N85*O85*Neig_Neu)*L85/C85</f>
        <v>0.59191742723961</v>
      </c>
      <c r="T85" s="30" t="n">
        <f aca="false">IF(Anlagen!W85&lt;&gt;"",Anlagen!W85,IF(Quote_Modus=2,Quote_fest,IF(Szenario=2,S85,M85)))</f>
        <v>0.594053821144581</v>
      </c>
      <c r="U85" s="23" t="str">
        <f aca="false">IF(Anlagen!W85&lt;&gt;"","manuell",IF(Quote_Modus=2,"fest",IF(Szenario=2,"Alter, in 5 J.","Alter, heute")))</f>
        <v>Alter, heute</v>
      </c>
      <c r="V85" s="31" t="n">
        <f aca="false">C85*T85</f>
        <v>29.1086372360845</v>
      </c>
    </row>
    <row r="86" customFormat="false" ht="15" hidden="false" customHeight="false" outlineLevel="0" collapsed="false">
      <c r="A86" s="23" t="n">
        <f aca="false">Anlagen!A86</f>
        <v>82</v>
      </c>
      <c r="B86" s="23" t="str">
        <f aca="false">Anlagen!B86</f>
        <v>Waldfrieden</v>
      </c>
      <c r="C86" s="23" t="n">
        <f aca="false">Anlagen!F86</f>
        <v>90</v>
      </c>
      <c r="D86" s="23" t="n">
        <f aca="false">Anlagen!G86</f>
        <v>3</v>
      </c>
      <c r="E86" s="30" t="n">
        <f aca="false">D86/C86</f>
        <v>0.0333333333333333</v>
      </c>
      <c r="F86" s="30" t="n">
        <f aca="false">Anlagen!I86/MAX(0.0001,SUM(Anlagen!I86:M86))</f>
        <v>0.0200174064403829</v>
      </c>
      <c r="G86" s="30" t="n">
        <f aca="false">Anlagen!J86/MAX(0.0001,SUM(Anlagen!I86:M86))</f>
        <v>0.40905134899913</v>
      </c>
      <c r="H86" s="30" t="n">
        <f aca="false">Anlagen!K86/MAX(0.0001,SUM(Anlagen!I86:M86))</f>
        <v>0.366405570060923</v>
      </c>
      <c r="I86" s="30" t="n">
        <f aca="false">Anlagen!L86/MAX(0.0001,SUM(Anlagen!I86:M86))</f>
        <v>0.204525674499565</v>
      </c>
      <c r="J86" s="30" t="n">
        <f aca="false">Anlagen!M86/MAX(0.0001,SUM(Anlagen!I86:M86))</f>
        <v>0</v>
      </c>
      <c r="K86" s="30" t="n">
        <f aca="false">F86*Neig_1+G86*Neig_2+H86*Neig_3+I86*Neig_4+J86*Neig_5</f>
        <v>0.614229765013055</v>
      </c>
      <c r="L86" s="30" t="n">
        <f aca="false">IF(LEFT(Anlagen!D86,1)="A",Stufe_A,IF(LEFT(Anlagen!D86,1)="B",Stufe_B,IF(LEFT(Anlagen!D86,1)="C",Stufe_C,Stufe_D)))</f>
        <v>1</v>
      </c>
      <c r="M86" s="30" t="n">
        <f aca="false">K86*(1-E86)*L86</f>
        <v>0.59375543951262</v>
      </c>
      <c r="N86" s="30" t="n">
        <f aca="false">F86*Abg_1+G86*Abg_2+H86*Abg_3+I86*Abg_4+J86*Abg_5</f>
        <v>0.119451697127937</v>
      </c>
      <c r="O86" s="30" t="n">
        <f aca="false">MAX(0,MIN(1,Nachbes-E86*Nachbes_Leer))</f>
        <v>0.633333333333333</v>
      </c>
      <c r="P86" s="31" t="n">
        <f aca="false">D86+(C86-D86)*N86*(1-O86)</f>
        <v>6.8105091383812</v>
      </c>
      <c r="Q86" s="30" t="n">
        <f aca="false">P86/C86</f>
        <v>0.0756723237597911</v>
      </c>
      <c r="R86" s="30" t="n">
        <f aca="false">(F86*(1-Abg_1)*Neig_1+G86*(1-Abg_2)*Neig_2+H86*(1-Abg_3)*Neig_3+I86*(1-Abg_4)*Neig_4+J86*(1-Abg_5)*Neig_5)/MAX(0.0001,1-N86)</f>
        <v>0.629869038794168</v>
      </c>
      <c r="S86" s="30" t="n">
        <f aca="false">(C86-D86)*((1-N86)*R86+N86*O86*Neig_Neu)*L86/C86</f>
        <v>0.590990680301712</v>
      </c>
      <c r="T86" s="30" t="n">
        <f aca="false">IF(Anlagen!W86&lt;&gt;"",Anlagen!W86,IF(Quote_Modus=2,Quote_fest,IF(Szenario=2,S86,M86)))</f>
        <v>0.59375543951262</v>
      </c>
      <c r="U86" s="23" t="str">
        <f aca="false">IF(Anlagen!W86&lt;&gt;"","manuell",IF(Quote_Modus=2,"fest",IF(Szenario=2,"Alter, in 5 J.","Alter, heute")))</f>
        <v>Alter, heute</v>
      </c>
      <c r="V86" s="31" t="n">
        <f aca="false">C86*T86</f>
        <v>53.4379895561358</v>
      </c>
    </row>
    <row r="87" customFormat="false" ht="15" hidden="false" customHeight="false" outlineLevel="0" collapsed="false">
      <c r="A87" s="23" t="n">
        <f aca="false">Anlagen!A87</f>
        <v>83</v>
      </c>
      <c r="B87" s="23" t="str">
        <f aca="false">Anlagen!B87</f>
        <v>Weinmeisterweg</v>
      </c>
      <c r="C87" s="23" t="n">
        <f aca="false">Anlagen!F87</f>
        <v>26</v>
      </c>
      <c r="D87" s="23" t="n">
        <f aca="false">Anlagen!G87</f>
        <v>1</v>
      </c>
      <c r="E87" s="30" t="n">
        <f aca="false">D87/C87</f>
        <v>0.0384615384615385</v>
      </c>
      <c r="F87" s="30" t="n">
        <f aca="false">Anlagen!I87/MAX(0.0001,SUM(Anlagen!I87:M87))</f>
        <v>0</v>
      </c>
      <c r="G87" s="30" t="n">
        <f aca="false">Anlagen!J87/MAX(0.0001,SUM(Anlagen!I87:M87))</f>
        <v>0.448979591836735</v>
      </c>
      <c r="H87" s="30" t="n">
        <f aca="false">Anlagen!K87/MAX(0.0001,SUM(Anlagen!I87:M87))</f>
        <v>0.251700680272109</v>
      </c>
      <c r="I87" s="30" t="n">
        <f aca="false">Anlagen!L87/MAX(0.0001,SUM(Anlagen!I87:M87))</f>
        <v>0.299319727891156</v>
      </c>
      <c r="J87" s="30" t="n">
        <f aca="false">Anlagen!M87/MAX(0.0001,SUM(Anlagen!I87:M87))</f>
        <v>0</v>
      </c>
      <c r="K87" s="30" t="n">
        <f aca="false">F87*Neig_1+G87*Neig_2+H87*Neig_3+I87*Neig_4+J87*Neig_5</f>
        <v>0.592517006802721</v>
      </c>
      <c r="L87" s="30" t="n">
        <f aca="false">IF(LEFT(Anlagen!D87,1)="A",Stufe_A,IF(LEFT(Anlagen!D87,1)="B",Stufe_B,IF(LEFT(Anlagen!D87,1)="C",Stufe_C,Stufe_D)))</f>
        <v>1</v>
      </c>
      <c r="M87" s="30" t="n">
        <f aca="false">K87*(1-E87)*L87</f>
        <v>0.569727891156463</v>
      </c>
      <c r="N87" s="30" t="n">
        <f aca="false">F87*Abg_1+G87*Abg_2+H87*Abg_3+I87*Abg_4+J87*Abg_5</f>
        <v>0.137414965986395</v>
      </c>
      <c r="O87" s="30" t="n">
        <f aca="false">MAX(0,MIN(1,Nachbes-E87*Nachbes_Leer))</f>
        <v>0.623076923076923</v>
      </c>
      <c r="P87" s="31" t="n">
        <f aca="false">D87+(C87-D87)*N87*(1-O87)</f>
        <v>2.29487179487179</v>
      </c>
      <c r="Q87" s="30" t="n">
        <f aca="false">P87/C87</f>
        <v>0.0882642998027613</v>
      </c>
      <c r="R87" s="30" t="n">
        <f aca="false">(F87*(1-Abg_1)*Neig_1+G87*(1-Abg_2)*Neig_2+H87*(1-Abg_3)*Neig_3+I87*(1-Abg_4)*Neig_4+J87*(1-Abg_5)*Neig_5)/MAX(0.0001,1-N87)</f>
        <v>0.613446372239748</v>
      </c>
      <c r="S87" s="30" t="n">
        <f aca="false">(C87-D87)*((1-N87)*R87+N87*O87*Neig_Neu)*L87/C87</f>
        <v>0.57054301010345</v>
      </c>
      <c r="T87" s="30" t="n">
        <f aca="false">IF(Anlagen!W87&lt;&gt;"",Anlagen!W87,IF(Quote_Modus=2,Quote_fest,IF(Szenario=2,S87,M87)))</f>
        <v>0.569727891156463</v>
      </c>
      <c r="U87" s="23" t="str">
        <f aca="false">IF(Anlagen!W87&lt;&gt;"","manuell",IF(Quote_Modus=2,"fest",IF(Szenario=2,"Alter, in 5 J.","Alter, heute")))</f>
        <v>Alter, heute</v>
      </c>
      <c r="V87" s="31" t="n">
        <f aca="false">C87*T87</f>
        <v>14.812925170068</v>
      </c>
    </row>
    <row r="88" customFormat="false" ht="15" hidden="false" customHeight="false" outlineLevel="0" collapsed="false">
      <c r="A88" s="23" t="n">
        <f aca="false">Anlagen!A88</f>
        <v>84</v>
      </c>
      <c r="B88" s="23" t="str">
        <f aca="false">Anlagen!B88</f>
        <v>Wittstocker Gäßchen</v>
      </c>
      <c r="C88" s="23" t="n">
        <f aca="false">Anlagen!F88</f>
        <v>54</v>
      </c>
      <c r="D88" s="23" t="n">
        <f aca="false">Anlagen!G88</f>
        <v>0</v>
      </c>
      <c r="E88" s="30" t="n">
        <f aca="false">D88/C88</f>
        <v>0</v>
      </c>
      <c r="F88" s="30" t="n">
        <f aca="false">Anlagen!I88/MAX(0.0001,SUM(Anlagen!I88:M88))</f>
        <v>0.014018691588785</v>
      </c>
      <c r="G88" s="30" t="n">
        <f aca="false">Anlagen!J88/MAX(0.0001,SUM(Anlagen!I88:M88))</f>
        <v>0.2601246105919</v>
      </c>
      <c r="H88" s="30" t="n">
        <f aca="false">Anlagen!K88/MAX(0.0001,SUM(Anlagen!I88:M88))</f>
        <v>0.350467289719626</v>
      </c>
      <c r="I88" s="30" t="n">
        <f aca="false">Anlagen!L88/MAX(0.0001,SUM(Anlagen!I88:M88))</f>
        <v>0.375389408099688</v>
      </c>
      <c r="J88" s="30" t="n">
        <f aca="false">Anlagen!M88/MAX(0.0001,SUM(Anlagen!I88:M88))</f>
        <v>0</v>
      </c>
      <c r="K88" s="30" t="n">
        <f aca="false">F88*Neig_1+G88*Neig_2+H88*Neig_3+I88*Neig_4+J88*Neig_5</f>
        <v>0.54797507788162</v>
      </c>
      <c r="L88" s="30" t="n">
        <f aca="false">IF(LEFT(Anlagen!D88,1)="A",Stufe_A,IF(LEFT(Anlagen!D88,1)="B",Stufe_B,IF(LEFT(Anlagen!D88,1)="C",Stufe_C,Stufe_D)))</f>
        <v>1</v>
      </c>
      <c r="M88" s="30" t="n">
        <f aca="false">K88*(1-E88)*L88</f>
        <v>0.54797507788162</v>
      </c>
      <c r="N88" s="30" t="n">
        <f aca="false">F88*Abg_1+G88*Abg_2+H88*Abg_3+I88*Abg_4+J88*Abg_5</f>
        <v>0.161370716510903</v>
      </c>
      <c r="O88" s="30" t="n">
        <f aca="false">MAX(0,MIN(1,Nachbes-E88*Nachbes_Leer))</f>
        <v>0.7</v>
      </c>
      <c r="P88" s="31" t="n">
        <f aca="false">D88+(C88-D88)*N88*(1-O88)</f>
        <v>2.61420560747664</v>
      </c>
      <c r="Q88" s="30" t="n">
        <f aca="false">P88/C88</f>
        <v>0.048411214953271</v>
      </c>
      <c r="R88" s="30" t="n">
        <f aca="false">(F88*(1-Abg_1)*Neig_1+G88*(1-Abg_2)*Neig_2+H88*(1-Abg_3)*Neig_3+I88*(1-Abg_4)*Neig_4+J88*(1-Abg_5)*Neig_5)/MAX(0.0001,1-N88)</f>
        <v>0.569042533432392</v>
      </c>
      <c r="S88" s="30" t="n">
        <f aca="false">(C88-D88)*((1-N88)*R88+N88*O88*Neig_Neu)*L88/C88</f>
        <v>0.561935358255452</v>
      </c>
      <c r="T88" s="30" t="n">
        <f aca="false">IF(Anlagen!W88&lt;&gt;"",Anlagen!W88,IF(Quote_Modus=2,Quote_fest,IF(Szenario=2,S88,M88)))</f>
        <v>0.54797507788162</v>
      </c>
      <c r="U88" s="23" t="str">
        <f aca="false">IF(Anlagen!W88&lt;&gt;"","manuell",IF(Quote_Modus=2,"fest",IF(Szenario=2,"Alter, in 5 J.","Alter, heute")))</f>
        <v>Alter, heute</v>
      </c>
      <c r="V88" s="31" t="n">
        <f aca="false">C88*T88</f>
        <v>29.5906542056075</v>
      </c>
    </row>
    <row r="89" customFormat="false" ht="15" hidden="false" customHeight="false" outlineLevel="0" collapsed="false">
      <c r="A89" s="23" t="n">
        <f aca="false">Anlagen!A89</f>
        <v>85</v>
      </c>
      <c r="B89" s="23" t="str">
        <f aca="false">Anlagen!B89</f>
        <v>Zukunft</v>
      </c>
      <c r="C89" s="23" t="n">
        <f aca="false">Anlagen!F89</f>
        <v>85</v>
      </c>
      <c r="D89" s="23" t="n">
        <f aca="false">Anlagen!G89</f>
        <v>3</v>
      </c>
      <c r="E89" s="30" t="n">
        <f aca="false">D89/C89</f>
        <v>0.0352941176470588</v>
      </c>
      <c r="F89" s="30" t="n">
        <f aca="false">Anlagen!I89/MAX(0.0001,SUM(Anlagen!I89:M89))</f>
        <v>0.0255731922398589</v>
      </c>
      <c r="G89" s="30" t="n">
        <f aca="false">Anlagen!J89/MAX(0.0001,SUM(Anlagen!I89:M89))</f>
        <v>0.293650793650794</v>
      </c>
      <c r="H89" s="30" t="n">
        <f aca="false">Anlagen!K89/MAX(0.0001,SUM(Anlagen!I89:M89))</f>
        <v>0.580246913580247</v>
      </c>
      <c r="I89" s="30" t="n">
        <f aca="false">Anlagen!L89/MAX(0.0001,SUM(Anlagen!I89:M89))</f>
        <v>0.100529100529101</v>
      </c>
      <c r="J89" s="30" t="n">
        <f aca="false">Anlagen!M89/MAX(0.0001,SUM(Anlagen!I89:M89))</f>
        <v>0</v>
      </c>
      <c r="K89" s="30" t="n">
        <f aca="false">F89*Neig_1+G89*Neig_2+H89*Neig_3+I89*Neig_4+J89*Neig_5</f>
        <v>0.624029982363316</v>
      </c>
      <c r="L89" s="30" t="n">
        <f aca="false">IF(LEFT(Anlagen!D89,1)="A",Stufe_A,IF(LEFT(Anlagen!D89,1)="B",Stufe_B,IF(LEFT(Anlagen!D89,1)="C",Stufe_C,Stufe_D)))</f>
        <v>1</v>
      </c>
      <c r="M89" s="30" t="n">
        <f aca="false">K89*(1-E89)*L89</f>
        <v>0.602005394750493</v>
      </c>
      <c r="N89" s="30" t="n">
        <f aca="false">F89*Abg_1+G89*Abg_2+H89*Abg_3+I89*Abg_4+J89*Abg_5</f>
        <v>0.104144620811287</v>
      </c>
      <c r="O89" s="30" t="n">
        <f aca="false">MAX(0,MIN(1,Nachbes-E89*Nachbes_Leer))</f>
        <v>0.629411764705882</v>
      </c>
      <c r="P89" s="31" t="n">
        <f aca="false">D89+(C89-D89)*N89*(1-O89)</f>
        <v>6.16477124183007</v>
      </c>
      <c r="Q89" s="30" t="n">
        <f aca="false">P89/C89</f>
        <v>0.0725267204921184</v>
      </c>
      <c r="R89" s="30" t="n">
        <f aca="false">(F89*(1-Abg_1)*Neig_1+G89*(1-Abg_2)*Neig_2+H89*(1-Abg_3)*Neig_3+I89*(1-Abg_4)*Neig_4+J89*(1-Abg_5)*Neig_5)/MAX(0.0001,1-N89)</f>
        <v>0.632495816517374</v>
      </c>
      <c r="S89" s="30" t="n">
        <f aca="false">(C89-D89)*((1-N89)*R89+N89*O89*Neig_Neu)*L89/C89</f>
        <v>0.594053502010826</v>
      </c>
      <c r="T89" s="30" t="n">
        <f aca="false">IF(Anlagen!W89&lt;&gt;"",Anlagen!W89,IF(Quote_Modus=2,Quote_fest,IF(Szenario=2,S89,M89)))</f>
        <v>0.602005394750493</v>
      </c>
      <c r="U89" s="23" t="str">
        <f aca="false">IF(Anlagen!W89&lt;&gt;"","manuell",IF(Quote_Modus=2,"fest",IF(Szenario=2,"Alter, in 5 J.","Alter, heute")))</f>
        <v>Alter, heute</v>
      </c>
      <c r="V89" s="31" t="n">
        <f aca="false">C89*T89</f>
        <v>51.1704585537919</v>
      </c>
    </row>
    <row r="90" customFormat="false" ht="15" hidden="false" customHeight="false" outlineLevel="0" collapsed="false">
      <c r="A90" s="23" t="n">
        <f aca="false">Anlagen!A90</f>
        <v>86</v>
      </c>
      <c r="B90" s="23" t="str">
        <f aca="false">Anlagen!B90</f>
        <v>Zum Burgweg</v>
      </c>
      <c r="C90" s="23" t="n">
        <f aca="false">Anlagen!F90</f>
        <v>9</v>
      </c>
      <c r="D90" s="23" t="n">
        <f aca="false">Anlagen!G90</f>
        <v>0</v>
      </c>
      <c r="E90" s="30" t="n">
        <f aca="false">D90/C90</f>
        <v>0</v>
      </c>
      <c r="F90" s="30" t="n">
        <f aca="false">Anlagen!I90/MAX(0.0001,SUM(Anlagen!I90:M90))</f>
        <v>0</v>
      </c>
      <c r="G90" s="30" t="n">
        <f aca="false">Anlagen!J90/MAX(0.0001,SUM(Anlagen!I90:M90))</f>
        <v>0.161016949152542</v>
      </c>
      <c r="H90" s="30" t="n">
        <f aca="false">Anlagen!K90/MAX(0.0001,SUM(Anlagen!I90:M90))</f>
        <v>0.635593220338983</v>
      </c>
      <c r="I90" s="30" t="n">
        <f aca="false">Anlagen!L90/MAX(0.0001,SUM(Anlagen!I90:M90))</f>
        <v>0.203389830508475</v>
      </c>
      <c r="J90" s="30" t="n">
        <f aca="false">Anlagen!M90/MAX(0.0001,SUM(Anlagen!I90:M90))</f>
        <v>0</v>
      </c>
      <c r="K90" s="30" t="n">
        <f aca="false">F90*Neig_1+G90*Neig_2+H90*Neig_3+I90*Neig_4+J90*Neig_5</f>
        <v>0.573305084745763</v>
      </c>
      <c r="L90" s="30" t="n">
        <f aca="false">IF(LEFT(Anlagen!D90,1)="A",Stufe_A,IF(LEFT(Anlagen!D90,1)="B",Stufe_B,IF(LEFT(Anlagen!D90,1)="C",Stufe_C,Stufe_D)))</f>
        <v>1</v>
      </c>
      <c r="M90" s="30" t="n">
        <f aca="false">K90*(1-E90)*L90</f>
        <v>0.573305084745763</v>
      </c>
      <c r="N90" s="30" t="n">
        <f aca="false">F90*Abg_1+G90*Abg_2+H90*Abg_3+I90*Abg_4+J90*Abg_5</f>
        <v>0.132627118644068</v>
      </c>
      <c r="O90" s="30" t="n">
        <f aca="false">MAX(0,MIN(1,Nachbes-E90*Nachbes_Leer))</f>
        <v>0.7</v>
      </c>
      <c r="P90" s="31" t="n">
        <f aca="false">D90+(C90-D90)*N90*(1-O90)</f>
        <v>0.358093220338983</v>
      </c>
      <c r="Q90" s="30" t="n">
        <f aca="false">P90/C90</f>
        <v>0.0397881355932203</v>
      </c>
      <c r="R90" s="30" t="n">
        <f aca="false">(F90*(1-Abg_1)*Neig_1+G90*(1-Abg_2)*Neig_2+H90*(1-Abg_3)*Neig_3+I90*(1-Abg_4)*Neig_4+J90*(1-Abg_5)*Neig_5)/MAX(0.0001,1-N90)</f>
        <v>0.585417684416219</v>
      </c>
      <c r="S90" s="30" t="n">
        <f aca="false">(C90-D90)*((1-N90)*R90+N90*O90*Neig_Neu)*L90/C90</f>
        <v>0.577404661016949</v>
      </c>
      <c r="T90" s="30" t="n">
        <f aca="false">IF(Anlagen!W90&lt;&gt;"",Anlagen!W90,IF(Quote_Modus=2,Quote_fest,IF(Szenario=2,S90,M90)))</f>
        <v>0.573305084745763</v>
      </c>
      <c r="U90" s="23" t="str">
        <f aca="false">IF(Anlagen!W90&lt;&gt;"","manuell",IF(Quote_Modus=2,"fest",IF(Szenario=2,"Alter, in 5 J.","Alter, heute")))</f>
        <v>Alter, heute</v>
      </c>
      <c r="V90" s="31" t="n">
        <f aca="false">C90*T90</f>
        <v>5.15974576271186</v>
      </c>
    </row>
    <row r="91" customFormat="false" ht="15" hidden="false" customHeight="false" outlineLevel="0" collapsed="false">
      <c r="A91" s="23" t="n">
        <f aca="false">Anlagen!A91</f>
        <v>87</v>
      </c>
      <c r="B91" s="23" t="str">
        <f aca="false">Anlagen!B91</f>
        <v>Zum kühlen Grunde</v>
      </c>
      <c r="C91" s="23" t="n">
        <f aca="false">Anlagen!F91</f>
        <v>26</v>
      </c>
      <c r="D91" s="23" t="n">
        <f aca="false">Anlagen!G91</f>
        <v>0</v>
      </c>
      <c r="E91" s="30" t="n">
        <f aca="false">D91/C91</f>
        <v>0</v>
      </c>
      <c r="F91" s="30" t="n">
        <f aca="false">Anlagen!I91/MAX(0.0001,SUM(Anlagen!I91:M91))</f>
        <v>0.0734463276836158</v>
      </c>
      <c r="G91" s="30" t="n">
        <f aca="false">Anlagen!J91/MAX(0.0001,SUM(Anlagen!I91:M91))</f>
        <v>0.228813559322034</v>
      </c>
      <c r="H91" s="30" t="n">
        <f aca="false">Anlagen!K91/MAX(0.0001,SUM(Anlagen!I91:M91))</f>
        <v>0.443502824858757</v>
      </c>
      <c r="I91" s="30" t="n">
        <f aca="false">Anlagen!L91/MAX(0.0001,SUM(Anlagen!I91:M91))</f>
        <v>0.254237288135593</v>
      </c>
      <c r="J91" s="30" t="n">
        <f aca="false">Anlagen!M91/MAX(0.0001,SUM(Anlagen!I91:M91))</f>
        <v>0</v>
      </c>
      <c r="K91" s="30" t="n">
        <f aca="false">F91*Neig_1+G91*Neig_2+H91*Neig_3+I91*Neig_4+J91*Neig_5</f>
        <v>0.58545197740113</v>
      </c>
      <c r="L91" s="30" t="n">
        <f aca="false">IF(LEFT(Anlagen!D91,1)="A",Stufe_A,IF(LEFT(Anlagen!D91,1)="B",Stufe_B,IF(LEFT(Anlagen!D91,1)="C",Stufe_C,Stufe_D)))</f>
        <v>1</v>
      </c>
      <c r="M91" s="30" t="n">
        <f aca="false">K91*(1-E91)*L91</f>
        <v>0.58545197740113</v>
      </c>
      <c r="N91" s="30" t="n">
        <f aca="false">F91*Abg_1+G91*Abg_2+H91*Abg_3+I91*Abg_4+J91*Abg_5</f>
        <v>0.135734463276836</v>
      </c>
      <c r="O91" s="30" t="n">
        <f aca="false">MAX(0,MIN(1,Nachbes-E91*Nachbes_Leer))</f>
        <v>0.7</v>
      </c>
      <c r="P91" s="31" t="n">
        <f aca="false">D91+(C91-D91)*N91*(1-O91)</f>
        <v>1.05872881355932</v>
      </c>
      <c r="Q91" s="30" t="n">
        <f aca="false">P91/C91</f>
        <v>0.0407203389830509</v>
      </c>
      <c r="R91" s="30" t="n">
        <f aca="false">(F91*(1-Abg_1)*Neig_1+G91*(1-Abg_2)*Neig_2+H91*(1-Abg_3)*Neig_3+I91*(1-Abg_4)*Neig_4+J91*(1-Abg_5)*Neig_5)/MAX(0.0001,1-N91)</f>
        <v>0.602394182055892</v>
      </c>
      <c r="S91" s="30" t="n">
        <f aca="false">(C91-D91)*((1-N91)*R91+N91*O91*Neig_Neu)*L91/C91</f>
        <v>0.591889124293785</v>
      </c>
      <c r="T91" s="30" t="n">
        <f aca="false">IF(Anlagen!W91&lt;&gt;"",Anlagen!W91,IF(Quote_Modus=2,Quote_fest,IF(Szenario=2,S91,M91)))</f>
        <v>0.58545197740113</v>
      </c>
      <c r="U91" s="23" t="str">
        <f aca="false">IF(Anlagen!W91&lt;&gt;"","manuell",IF(Quote_Modus=2,"fest",IF(Szenario=2,"Alter, in 5 J.","Alter, heute")))</f>
        <v>Alter, heute</v>
      </c>
      <c r="V91" s="31" t="n">
        <f aca="false">C91*T91</f>
        <v>15.2217514124294</v>
      </c>
    </row>
    <row r="92" customFormat="false" ht="15" hidden="false" customHeight="false" outlineLevel="0" collapsed="false">
      <c r="A92" s="23" t="n">
        <f aca="false">Anlagen!A92</f>
        <v>88</v>
      </c>
      <c r="B92" s="23" t="str">
        <f aca="false">Anlagen!B92</f>
        <v>Zur Insel</v>
      </c>
      <c r="C92" s="23" t="n">
        <f aca="false">Anlagen!F92</f>
        <v>86</v>
      </c>
      <c r="D92" s="23" t="n">
        <f aca="false">Anlagen!G92</f>
        <v>0</v>
      </c>
      <c r="E92" s="30" t="n">
        <f aca="false">D92/C92</f>
        <v>0</v>
      </c>
      <c r="F92" s="30" t="n">
        <f aca="false">Anlagen!I92/MAX(0.0001,SUM(Anlagen!I92:M92))</f>
        <v>0</v>
      </c>
      <c r="G92" s="30" t="n">
        <f aca="false">Anlagen!J92/MAX(0.0001,SUM(Anlagen!I92:M92))</f>
        <v>0.209414024975985</v>
      </c>
      <c r="H92" s="30" t="n">
        <f aca="false">Anlagen!K92/MAX(0.0001,SUM(Anlagen!I92:M92))</f>
        <v>0.514889529298751</v>
      </c>
      <c r="I92" s="30" t="n">
        <f aca="false">Anlagen!L92/MAX(0.0001,SUM(Anlagen!I92:M92))</f>
        <v>0.275696445725264</v>
      </c>
      <c r="J92" s="30" t="n">
        <f aca="false">Anlagen!M92/MAX(0.0001,SUM(Anlagen!I92:M92))</f>
        <v>0</v>
      </c>
      <c r="K92" s="30" t="n">
        <f aca="false">F92*Neig_1+G92*Neig_2+H92*Neig_3+I92*Neig_4+J92*Neig_5</f>
        <v>0.562487992315082</v>
      </c>
      <c r="L92" s="30" t="n">
        <f aca="false">IF(LEFT(Anlagen!D92,1)="A",Stufe_A,IF(LEFT(Anlagen!D92,1)="B",Stufe_B,IF(LEFT(Anlagen!D92,1)="C",Stufe_C,Stufe_D)))</f>
        <v>1</v>
      </c>
      <c r="M92" s="30" t="n">
        <f aca="false">K92*(1-E92)*L92</f>
        <v>0.562487992315082</v>
      </c>
      <c r="N92" s="30" t="n">
        <f aca="false">F92*Abg_1+G92*Abg_2+H92*Abg_3+I92*Abg_4+J92*Abg_5</f>
        <v>0.144668587896254</v>
      </c>
      <c r="O92" s="30" t="n">
        <f aca="false">MAX(0,MIN(1,Nachbes-E92*Nachbes_Leer))</f>
        <v>0.7</v>
      </c>
      <c r="P92" s="31" t="n">
        <f aca="false">D92+(C92-D92)*N92*(1-O92)</f>
        <v>3.73244956772334</v>
      </c>
      <c r="Q92" s="30" t="n">
        <f aca="false">P92/C92</f>
        <v>0.0434005763688761</v>
      </c>
      <c r="R92" s="30" t="n">
        <f aca="false">(F92*(1-Abg_1)*Neig_1+G92*(1-Abg_2)*Neig_2+H92*(1-Abg_3)*Neig_3+I92*(1-Abg_4)*Neig_4+J92*(1-Abg_5)*Neig_5)/MAX(0.0001,1-N92)</f>
        <v>0.57848158131177</v>
      </c>
      <c r="S92" s="30" t="n">
        <f aca="false">(C92-D92)*((1-N92)*R92+N92*O92*Neig_Neu)*L92/C92</f>
        <v>0.570744476464938</v>
      </c>
      <c r="T92" s="30" t="n">
        <f aca="false">IF(Anlagen!W92&lt;&gt;"",Anlagen!W92,IF(Quote_Modus=2,Quote_fest,IF(Szenario=2,S92,M92)))</f>
        <v>0.562487992315082</v>
      </c>
      <c r="U92" s="23" t="str">
        <f aca="false">IF(Anlagen!W92&lt;&gt;"","manuell",IF(Quote_Modus=2,"fest",IF(Szenario=2,"Alter, in 5 J.","Alter, heute")))</f>
        <v>Alter, heute</v>
      </c>
      <c r="V92" s="31" t="n">
        <f aca="false">C92*T92</f>
        <v>48.373967339097</v>
      </c>
    </row>
    <row r="93" customFormat="false" ht="15" hidden="false" customHeight="false" outlineLevel="0" collapsed="false">
      <c r="B93" s="32" t="s">
        <v>494</v>
      </c>
      <c r="C93" s="33" t="n">
        <f aca="false">SUM(C5:C92)</f>
        <v>5017</v>
      </c>
      <c r="D93" s="33" t="n">
        <f aca="false">SUM(D5:D92)</f>
        <v>171</v>
      </c>
      <c r="E93" s="34" t="n">
        <f aca="false">D93/C93</f>
        <v>0.034084114012358</v>
      </c>
      <c r="M93" s="34" t="n">
        <f aca="false">SUMPRODUCT(C5:C92,M5:M92)/C93</f>
        <v>0.561055133421777</v>
      </c>
      <c r="P93" s="35" t="n">
        <f aca="false">SUM(P5:P92)</f>
        <v>396.9727102076</v>
      </c>
      <c r="Q93" s="34" t="n">
        <f aca="false">P93/C93</f>
        <v>0.0791255152895356</v>
      </c>
      <c r="S93" s="34" t="n">
        <f aca="false">SUMPRODUCT(C5:C92,S5:S92)/C93</f>
        <v>0.561060632573202</v>
      </c>
      <c r="T93" s="34" t="n">
        <f aca="false">V93/C93</f>
        <v>0.561055133421777</v>
      </c>
      <c r="V93" s="33" t="n">
        <f aca="false">SUM(V5:V92)</f>
        <v>2814.81360437705</v>
      </c>
    </row>
  </sheetData>
  <conditionalFormatting sqref="T5:T92">
    <cfRule type="expression" priority="2" aboveAverage="0" equalAverage="0" bottom="0" percent="0" rank="0" text="" dxfId="6">
      <formula>T5&lt;0.45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10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tru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30"/>
    <col collapsed="false" customWidth="true" hidden="false" outlineLevel="0" max="15" min="15" style="0" width="8"/>
    <col collapsed="false" customWidth="true" hidden="false" outlineLevel="0" max="16" min="16" style="0" width="36"/>
    <col collapsed="false" customWidth="true" hidden="false" outlineLevel="0" max="18" min="17" style="0" width="8"/>
    <col collapsed="false" customWidth="true" hidden="false" outlineLevel="0" max="20" min="19" style="0" width="10"/>
    <col collapsed="false" customWidth="true" hidden="false" outlineLevel="0" max="23" min="21" style="0" width="9"/>
    <col collapsed="false" customWidth="true" hidden="false" outlineLevel="0" max="24" min="24" style="0" width="14"/>
    <col collapsed="false" customWidth="true" hidden="false" outlineLevel="0" max="25" min="25" style="0" width="30"/>
  </cols>
  <sheetData>
    <row r="1" customFormat="false" ht="18.55" hidden="false" customHeight="false" outlineLevel="0" collapsed="false">
      <c r="A1" s="1" t="s">
        <v>495</v>
      </c>
    </row>
    <row r="2" customFormat="false" ht="15" hidden="false" customHeight="false" outlineLevel="0" collapsed="false">
      <c r="A2" s="2" t="s">
        <v>496</v>
      </c>
    </row>
    <row r="4" customFormat="false" ht="45.75" hidden="false" customHeight="true" outlineLevel="0" collapsed="false">
      <c r="A4" s="5" t="s">
        <v>175</v>
      </c>
      <c r="B4" s="5" t="s">
        <v>176</v>
      </c>
      <c r="C4" s="5" t="s">
        <v>497</v>
      </c>
      <c r="D4" s="5" t="s">
        <v>498</v>
      </c>
      <c r="E4" s="5" t="s">
        <v>499</v>
      </c>
      <c r="F4" s="5" t="s">
        <v>500</v>
      </c>
      <c r="G4" s="5" t="s">
        <v>501</v>
      </c>
      <c r="H4" s="5" t="s">
        <v>502</v>
      </c>
      <c r="I4" s="5" t="s">
        <v>503</v>
      </c>
      <c r="J4" s="5" t="s">
        <v>504</v>
      </c>
      <c r="K4" s="5" t="s">
        <v>505</v>
      </c>
      <c r="L4" s="5" t="s">
        <v>506</v>
      </c>
      <c r="M4" s="5" t="s">
        <v>507</v>
      </c>
      <c r="N4" s="5" t="s">
        <v>508</v>
      </c>
      <c r="O4" s="5" t="s">
        <v>46</v>
      </c>
      <c r="P4" s="5" t="s">
        <v>509</v>
      </c>
      <c r="Q4" s="5" t="s">
        <v>200</v>
      </c>
      <c r="R4" s="5" t="s">
        <v>510</v>
      </c>
      <c r="S4" s="5" t="s">
        <v>511</v>
      </c>
      <c r="T4" s="5" t="s">
        <v>512</v>
      </c>
      <c r="U4" s="5" t="s">
        <v>513</v>
      </c>
      <c r="V4" s="5" t="s">
        <v>514</v>
      </c>
      <c r="W4" s="5" t="s">
        <v>515</v>
      </c>
      <c r="X4" s="5" t="s">
        <v>516</v>
      </c>
      <c r="Y4" s="5" t="s">
        <v>517</v>
      </c>
    </row>
    <row r="5" customFormat="false" ht="15" hidden="false" customHeight="false" outlineLevel="0" collapsed="false">
      <c r="A5" s="23" t="n">
        <f aca="false">Anlagen!A5</f>
        <v>1</v>
      </c>
      <c r="B5" s="23" t="str">
        <f aca="false">Anlagen!B5</f>
        <v>1. März</v>
      </c>
      <c r="C5" s="23" t="n">
        <f aca="false">IF(Anlagen!S5&lt;&gt;"",Anlagen!S5,IF(Vorschlag_nutzen=1,Anlagen!Q5,A5))</f>
        <v>33</v>
      </c>
      <c r="D5" s="23" t="n">
        <f aca="false">IF(C5=A5,"",IF(Anlagen!T5&lt;&gt;"",Anlagen!T5,IF(AND(Anlagen!S5="",Vorschlag_nutzen=1,Anlagen!R5&lt;&gt;""),Anlagen!R5,C5)))</f>
        <v>6</v>
      </c>
      <c r="E5" s="23" t="str">
        <f aca="false">IF(C5=A5,IF(COUNTIF($C$5:$C$92,A5)&gt;1,"Gateway-Standort","eigenständig"),"über "&amp;IFERROR(INDEX(Anlagen!$B$5:$B$92,MATCH(D5,Anlagen!$A$5:$A$92,0)),"?"))</f>
        <v>über Altstadt Forst</v>
      </c>
      <c r="F5" s="36" t="n">
        <f aca="false">IF(C5=A5,0,IF(Anlagen!V5&lt;&gt;"",Anlagen!V5/1000,IFERROR(SQRT((Anlagen!N5-INDEX(Anlagen!$N$5:$N$92,MATCH(D5,Anlagen!$A$5:$A$92,0)))^2+(Anlagen!O5-INDEX(Anlagen!$O$5:$O$92,MATCH(D5,Anlagen!$A$5:$A$92,0)))^2),0)))</f>
        <v>0.896437393240599</v>
      </c>
      <c r="G5" s="37" t="n">
        <f aca="false">IF(C5=A5,0,IF(Anlagen!V5&lt;&gt;"",Anlagen!V5,F5*1000*Umweg))</f>
        <v>1165.36861121278</v>
      </c>
      <c r="H5" s="38" t="n">
        <f aca="false">IF(C5=A5,0,(G5*(P_Faser+P_Tiefbau)+2*P_SFP+P_MontZul)*EK)</f>
        <v>2310.80497101481</v>
      </c>
      <c r="I5" s="38" t="n">
        <f aca="false">IF(C5=A5,0,(P_Saeule+P_Flex+P_NT+P_Halter+P_Luefter+P_Spleiss+P_Ueber)*EK)</f>
        <v>851.326</v>
      </c>
      <c r="J5" s="23" t="n">
        <f aca="false">IF(Anlagen!U5&lt;&gt;"",Anlagen!U5,IF(C5=A5,500,1000)+ROW())</f>
        <v>1005</v>
      </c>
      <c r="K5" s="37" t="n">
        <f aca="false">SUMIFS(Anlagen!$F$5:$F$92,$C$5:$C$92,C5,$J$5:$J$92,"&lt;"&amp;J5)</f>
        <v>127</v>
      </c>
      <c r="L5" s="23" t="n">
        <f aca="false">INT(K5/PG)+1</f>
        <v>3</v>
      </c>
      <c r="M5" s="23" t="n">
        <f aca="false">MAX(L5,CEILING((K5+Anlagen!F5)/PG,1))</f>
        <v>3</v>
      </c>
      <c r="N5" s="23" t="str">
        <f aca="false">IFERROR(INDEX(Anlagen!$B$5:$B$92,MATCH(C5,Anlagen!$A$5:$A$92,0)),"?")&amp;": GW "&amp;L5&amp;IF(M5&gt;L5,"–"&amp;M5,"")</f>
        <v>Fohrder Landstraße: GW 3</v>
      </c>
      <c r="O5" s="31" t="n">
        <f aca="false">Buchungsquote!V5</f>
        <v>18.7090909090909</v>
      </c>
      <c r="P5" s="23" t="str">
        <f aca="false">IF(ISNA(MATCH(C5,Anlagen!$A$5:$A$92,0)),"Fehler: Standort unbekannt",IF(C5=A5,"OK",IF(INDEX($C$5:$C$92,MATCH(C5,Anlagen!$A$5:$A$92,0))&lt;&gt;C5,"Fehler: Standort hängt selbst an anderem Standort",IF(D5=A5,"Fehler: Zuleitung von sich selbst",IF(ISNA(MATCH(D5,Anlagen!$A$5:$A$92,0)),"Fehler: Zuleitung unbekannt",IF(INDEX($C$5:$C$92,MATCH(D5,Anlagen!$A$5:$A$92,0))&lt;&gt;C5,"Fehler: Zuleitung hängt an anderem Standort","OK"))))))</f>
        <v>OK</v>
      </c>
      <c r="Q5" s="23" t="str">
        <f aca="false">Anlagen!AA5</f>
        <v>MAERZ</v>
      </c>
      <c r="R5" s="23" t="n">
        <f aca="false">IF(Anlagen!AB5&lt;&gt;"",Anlagen!AB5,COUNTIFS($C$5:$C$92,C5,$J$5:$J$92,"&lt;"&amp;J5)+1)</f>
        <v>2</v>
      </c>
      <c r="S5" s="23" t="n">
        <f aca="false">1000+200*(R5-1)+1</f>
        <v>1201</v>
      </c>
      <c r="T5" s="23" t="n">
        <f aca="false">1000+200*(R5-1)+Anlagen!F5</f>
        <v>1230</v>
      </c>
      <c r="U5" s="23" t="n">
        <f aca="false">100+A5</f>
        <v>101</v>
      </c>
      <c r="V5" s="23" t="n">
        <f aca="false">200+A5</f>
        <v>201</v>
      </c>
      <c r="W5" s="23" t="n">
        <f aca="false">300+A5</f>
        <v>301</v>
      </c>
      <c r="X5" s="23" t="str">
        <f aca="false">"10."&amp;A5&amp;".1.0/24"</f>
        <v>10.1.1.0/24</v>
      </c>
      <c r="Y5" s="23" t="str">
        <f aca="false">IF(R5&gt;15,"Fehler: VLAN-Block über 15",IF(COUNTIFS($C$5:$C$92,C5,$R$5:$R$92,R5)&gt;1,"Fehler: VLAN-Block am Standort doppelt",IF(COUNTIF($Q$5:$Q$92,Q5)&gt;1,"Fehler: Kürzel doppelt",IF(Anlagen!F5&gt;199,"Fehler: mehr als 199 Parzellen","OK"))))</f>
        <v>OK</v>
      </c>
    </row>
    <row r="6" customFormat="false" ht="15" hidden="false" customHeight="false" outlineLevel="0" collapsed="false">
      <c r="A6" s="23" t="n">
        <f aca="false">Anlagen!A6</f>
        <v>2</v>
      </c>
      <c r="B6" s="23" t="str">
        <f aca="false">Anlagen!B6</f>
        <v>Abendfrieden</v>
      </c>
      <c r="C6" s="23" t="n">
        <f aca="false">IF(Anlagen!S6&lt;&gt;"",Anlagen!S6,IF(Vorschlag_nutzen=1,Anlagen!Q6,A6))</f>
        <v>41</v>
      </c>
      <c r="D6" s="23" t="n">
        <f aca="false">IF(C6=A6,"",IF(Anlagen!T6&lt;&gt;"",Anlagen!T6,IF(AND(Anlagen!S6="",Vorschlag_nutzen=1,Anlagen!R6&lt;&gt;""),Anlagen!R6,C6)))</f>
        <v>20</v>
      </c>
      <c r="E6" s="23" t="str">
        <f aca="false">IF(C6=A6,IF(COUNTIF($C$5:$C$92,A6)&gt;1,"Gateway-Standort","eigenständig"),"über "&amp;IFERROR(INDEX(Anlagen!$B$5:$B$92,MATCH(D6,Anlagen!$A$5:$A$92,0)),"?"))</f>
        <v>über Buchenweg</v>
      </c>
      <c r="F6" s="36" t="n">
        <f aca="false">IF(C6=A6,0,IF(Anlagen!V6&lt;&gt;"",Anlagen!V6/1000,IFERROR(SQRT((Anlagen!N6-INDEX(Anlagen!$N$5:$N$92,MATCH(D6,Anlagen!$A$5:$A$92,0)))^2+(Anlagen!O6-INDEX(Anlagen!$O$5:$O$92,MATCH(D6,Anlagen!$A$5:$A$92,0)))^2),0)))</f>
        <v>0.475394572960189</v>
      </c>
      <c r="G6" s="37" t="n">
        <f aca="false">IF(C6=A6,0,IF(Anlagen!V6&lt;&gt;"",Anlagen!V6,F6*1000*Umweg))</f>
        <v>618.012944848246</v>
      </c>
      <c r="H6" s="38" t="n">
        <f aca="false">IF(C6=A6,0,(G6*(P_Faser+P_Tiefbau)+2*P_SFP+P_MontZul)*EK)</f>
        <v>1333.77510655412</v>
      </c>
      <c r="I6" s="38" t="n">
        <f aca="false">IF(C6=A6,0,(P_Saeule+P_Flex+P_NT+P_Halter+P_Luefter+P_Spleiss+P_Ueber)*EK)</f>
        <v>851.326</v>
      </c>
      <c r="J6" s="23" t="n">
        <f aca="false">IF(Anlagen!U6&lt;&gt;"",Anlagen!U6,IF(C6=A6,500,1000)+ROW())</f>
        <v>1006</v>
      </c>
      <c r="K6" s="37" t="n">
        <f aca="false">SUMIFS(Anlagen!$F$5:$F$92,$C$5:$C$92,C6,$J$5:$J$92,"&lt;"&amp;J6)</f>
        <v>139</v>
      </c>
      <c r="L6" s="23" t="n">
        <f aca="false">INT(K6/PG)+1</f>
        <v>3</v>
      </c>
      <c r="M6" s="23" t="n">
        <f aca="false">MAX(L6,CEILING((K6+Anlagen!F6)/PG,1))</f>
        <v>4</v>
      </c>
      <c r="N6" s="23" t="str">
        <f aca="false">IFERROR(INDEX(Anlagen!$B$5:$B$92,MATCH(C6,Anlagen!$A$5:$A$92,0)),"?")&amp;": GW "&amp;L6&amp;IF(M6&gt;L6,"–"&amp;M6,"")</f>
        <v>Glück im Winkel: GW 3–4</v>
      </c>
      <c r="O6" s="31" t="n">
        <f aca="false">Buchungsquote!V6</f>
        <v>40.1497282608696</v>
      </c>
      <c r="P6" s="23" t="str">
        <f aca="false">IF(ISNA(MATCH(C6,Anlagen!$A$5:$A$92,0)),"Fehler: Standort unbekannt",IF(C6=A6,"OK",IF(INDEX($C$5:$C$92,MATCH(C6,Anlagen!$A$5:$A$92,0))&lt;&gt;C6,"Fehler: Standort hängt selbst an anderem Standort",IF(D6=A6,"Fehler: Zuleitung von sich selbst",IF(ISNA(MATCH(D6,Anlagen!$A$5:$A$92,0)),"Fehler: Zuleitung unbekannt",IF(INDEX($C$5:$C$92,MATCH(D6,Anlagen!$A$5:$A$92,0))&lt;&gt;C6,"Fehler: Zuleitung hängt an anderem Standort","OK"))))))</f>
        <v>OK</v>
      </c>
      <c r="Q6" s="23" t="str">
        <f aca="false">Anlagen!AA6</f>
        <v>ABFRI</v>
      </c>
      <c r="R6" s="23" t="n">
        <f aca="false">IF(Anlagen!AB6&lt;&gt;"",Anlagen!AB6,COUNTIFS($C$5:$C$92,C6,$J$5:$J$92,"&lt;"&amp;J6)+1)</f>
        <v>2</v>
      </c>
      <c r="S6" s="23" t="n">
        <f aca="false">1000+200*(R6-1)+1</f>
        <v>1201</v>
      </c>
      <c r="T6" s="23" t="n">
        <f aca="false">1000+200*(R6-1)+Anlagen!F6</f>
        <v>1275</v>
      </c>
      <c r="U6" s="23" t="n">
        <f aca="false">100+A6</f>
        <v>102</v>
      </c>
      <c r="V6" s="23" t="n">
        <f aca="false">200+A6</f>
        <v>202</v>
      </c>
      <c r="W6" s="23" t="n">
        <f aca="false">300+A6</f>
        <v>302</v>
      </c>
      <c r="X6" s="23" t="str">
        <f aca="false">"10."&amp;A6&amp;".1.0/24"</f>
        <v>10.2.1.0/24</v>
      </c>
      <c r="Y6" s="23" t="str">
        <f aca="false">IF(R6&gt;15,"Fehler: VLAN-Block über 15",IF(COUNTIFS($C$5:$C$92,C6,$R$5:$R$92,R6)&gt;1,"Fehler: VLAN-Block am Standort doppelt",IF(COUNTIF($Q$5:$Q$92,Q6)&gt;1,"Fehler: Kürzel doppelt",IF(Anlagen!F6&gt;199,"Fehler: mehr als 199 Parzellen","OK"))))</f>
        <v>OK</v>
      </c>
    </row>
    <row r="7" customFormat="false" ht="15" hidden="false" customHeight="false" outlineLevel="0" collapsed="false">
      <c r="A7" s="23" t="n">
        <f aca="false">Anlagen!A7</f>
        <v>3</v>
      </c>
      <c r="B7" s="23" t="str">
        <f aca="false">Anlagen!B7</f>
        <v>Abendrot</v>
      </c>
      <c r="C7" s="23" t="n">
        <f aca="false">IF(Anlagen!S7&lt;&gt;"",Anlagen!S7,IF(Vorschlag_nutzen=1,Anlagen!Q7,A7))</f>
        <v>30</v>
      </c>
      <c r="D7" s="23" t="n">
        <f aca="false">IF(C7=A7,"",IF(Anlagen!T7&lt;&gt;"",Anlagen!T7,IF(AND(Anlagen!S7="",Vorschlag_nutzen=1,Anlagen!R7&lt;&gt;""),Anlagen!R7,C7)))</f>
        <v>30</v>
      </c>
      <c r="E7" s="23" t="str">
        <f aca="false">IF(C7=A7,IF(COUNTIF($C$5:$C$92,A7)&gt;1,"Gateway-Standort","eigenständig"),"über "&amp;IFERROR(INDEX(Anlagen!$B$5:$B$92,MATCH(D7,Anlagen!$A$5:$A$92,0)),"?"))</f>
        <v>über Feierabend</v>
      </c>
      <c r="F7" s="36" t="n">
        <f aca="false">IF(C7=A7,0,IF(Anlagen!V7&lt;&gt;"",Anlagen!V7/1000,IFERROR(SQRT((Anlagen!N7-INDEX(Anlagen!$N$5:$N$92,MATCH(D7,Anlagen!$A$5:$A$92,0)))^2+(Anlagen!O7-INDEX(Anlagen!$O$5:$O$92,MATCH(D7,Anlagen!$A$5:$A$92,0)))^2),0)))</f>
        <v>1.18726576637247</v>
      </c>
      <c r="G7" s="37" t="n">
        <f aca="false">IF(C7=A7,0,IF(Anlagen!V7&lt;&gt;"",Anlagen!V7,F7*1000*Umweg))</f>
        <v>1543.44549628421</v>
      </c>
      <c r="H7" s="38" t="n">
        <f aca="false">IF(C7=A7,0,(G7*(P_Faser+P_Tiefbau)+2*P_SFP+P_MontZul)*EK)</f>
        <v>2985.67221086731</v>
      </c>
      <c r="I7" s="38" t="n">
        <f aca="false">IF(C7=A7,0,(P_Saeule+P_Flex+P_NT+P_Halter+P_Luefter+P_Spleiss+P_Ueber)*EK)</f>
        <v>851.326</v>
      </c>
      <c r="J7" s="23" t="n">
        <f aca="false">IF(Anlagen!U7&lt;&gt;"",Anlagen!U7,IF(C7=A7,500,1000)+ROW())</f>
        <v>1007</v>
      </c>
      <c r="K7" s="37" t="n">
        <f aca="false">SUMIFS(Anlagen!$F$5:$F$92,$C$5:$C$92,C7,$J$5:$J$92,"&lt;"&amp;J7)</f>
        <v>190</v>
      </c>
      <c r="L7" s="23" t="n">
        <f aca="false">INT(K7/PG)+1</f>
        <v>4</v>
      </c>
      <c r="M7" s="23" t="n">
        <f aca="false">MAX(L7,CEILING((K7+Anlagen!F7)/PG,1))</f>
        <v>6</v>
      </c>
      <c r="N7" s="23" t="str">
        <f aca="false">IFERROR(INDEX(Anlagen!$B$5:$B$92,MATCH(C7,Anlagen!$A$5:$A$92,0)),"?")&amp;": GW "&amp;L7&amp;IF(M7&gt;L7,"–"&amp;M7,"")</f>
        <v>Feierabend: GW 4–6</v>
      </c>
      <c r="O7" s="31" t="n">
        <f aca="false">Buchungsquote!V7</f>
        <v>77.9344571145265</v>
      </c>
      <c r="P7" s="23" t="str">
        <f aca="false">IF(ISNA(MATCH(C7,Anlagen!$A$5:$A$92,0)),"Fehler: Standort unbekannt",IF(C7=A7,"OK",IF(INDEX($C$5:$C$92,MATCH(C7,Anlagen!$A$5:$A$92,0))&lt;&gt;C7,"Fehler: Standort hängt selbst an anderem Standort",IF(D7=A7,"Fehler: Zuleitung von sich selbst",IF(ISNA(MATCH(D7,Anlagen!$A$5:$A$92,0)),"Fehler: Zuleitung unbekannt",IF(INDEX($C$5:$C$92,MATCH(D7,Anlagen!$A$5:$A$92,0))&lt;&gt;C7,"Fehler: Zuleitung hängt an anderem Standort","OK"))))))</f>
        <v>OK</v>
      </c>
      <c r="Q7" s="23" t="str">
        <f aca="false">Anlagen!AA7</f>
        <v>ABROT</v>
      </c>
      <c r="R7" s="23" t="n">
        <f aca="false">IF(Anlagen!AB7&lt;&gt;"",Anlagen!AB7,COUNTIFS($C$5:$C$92,C7,$J$5:$J$92,"&lt;"&amp;J7)+1)</f>
        <v>2</v>
      </c>
      <c r="S7" s="23" t="n">
        <f aca="false">1000+200*(R7-1)+1</f>
        <v>1201</v>
      </c>
      <c r="T7" s="23" t="n">
        <f aca="false">1000+200*(R7-1)+Anlagen!F7</f>
        <v>1337</v>
      </c>
      <c r="U7" s="23" t="n">
        <f aca="false">100+A7</f>
        <v>103</v>
      </c>
      <c r="V7" s="23" t="n">
        <f aca="false">200+A7</f>
        <v>203</v>
      </c>
      <c r="W7" s="23" t="n">
        <f aca="false">300+A7</f>
        <v>303</v>
      </c>
      <c r="X7" s="23" t="str">
        <f aca="false">"10."&amp;A7&amp;".1.0/24"</f>
        <v>10.3.1.0/24</v>
      </c>
      <c r="Y7" s="23" t="str">
        <f aca="false">IF(R7&gt;15,"Fehler: VLAN-Block über 15",IF(COUNTIFS($C$5:$C$92,C7,$R$5:$R$92,R7)&gt;1,"Fehler: VLAN-Block am Standort doppelt",IF(COUNTIF($Q$5:$Q$92,Q7)&gt;1,"Fehler: Kürzel doppelt",IF(Anlagen!F7&gt;199,"Fehler: mehr als 199 Parzellen","OK"))))</f>
        <v>OK</v>
      </c>
    </row>
    <row r="8" customFormat="false" ht="15" hidden="false" customHeight="false" outlineLevel="0" collapsed="false">
      <c r="A8" s="23" t="n">
        <f aca="false">Anlagen!A8</f>
        <v>4</v>
      </c>
      <c r="B8" s="23" t="str">
        <f aca="false">Anlagen!B8</f>
        <v>Abendruh</v>
      </c>
      <c r="C8" s="23" t="n">
        <f aca="false">IF(Anlagen!S8&lt;&gt;"",Anlagen!S8,IF(Vorschlag_nutzen=1,Anlagen!Q8,A8))</f>
        <v>30</v>
      </c>
      <c r="D8" s="23" t="n">
        <f aca="false">IF(C8=A8,"",IF(Anlagen!T8&lt;&gt;"",Anlagen!T8,IF(AND(Anlagen!S8="",Vorschlag_nutzen=1,Anlagen!R8&lt;&gt;""),Anlagen!R8,C8)))</f>
        <v>30</v>
      </c>
      <c r="E8" s="23" t="str">
        <f aca="false">IF(C8=A8,IF(COUNTIF($C$5:$C$92,A8)&gt;1,"Gateway-Standort","eigenständig"),"über "&amp;IFERROR(INDEX(Anlagen!$B$5:$B$92,MATCH(D8,Anlagen!$A$5:$A$92,0)),"?"))</f>
        <v>über Feierabend</v>
      </c>
      <c r="F8" s="36" t="n">
        <f aca="false">IF(C8=A8,0,IF(Anlagen!V8&lt;&gt;"",Anlagen!V8/1000,IFERROR(SQRT((Anlagen!N8-INDEX(Anlagen!$N$5:$N$92,MATCH(D8,Anlagen!$A$5:$A$92,0)))^2+(Anlagen!O8-INDEX(Anlagen!$O$5:$O$92,MATCH(D8,Anlagen!$A$5:$A$92,0)))^2),0)))</f>
        <v>0.836301381082203</v>
      </c>
      <c r="G8" s="37" t="n">
        <f aca="false">IF(C8=A8,0,IF(Anlagen!V8&lt;&gt;"",Anlagen!V8,F8*1000*Umweg))</f>
        <v>1087.19179540686</v>
      </c>
      <c r="H8" s="38" t="n">
        <f aca="false">IF(C8=A8,0,(G8*(P_Faser+P_Tiefbau)+2*P_SFP+P_MontZul)*EK)</f>
        <v>2171.25935480125</v>
      </c>
      <c r="I8" s="38" t="n">
        <f aca="false">IF(C8=A8,0,(P_Saeule+P_Flex+P_NT+P_Halter+P_Luefter+P_Spleiss+P_Ueber)*EK)</f>
        <v>851.326</v>
      </c>
      <c r="J8" s="23" t="n">
        <f aca="false">IF(Anlagen!U8&lt;&gt;"",Anlagen!U8,IF(C8=A8,500,1000)+ROW())</f>
        <v>1008</v>
      </c>
      <c r="K8" s="37" t="n">
        <f aca="false">SUMIFS(Anlagen!$F$5:$F$92,$C$5:$C$92,C8,$J$5:$J$92,"&lt;"&amp;J8)</f>
        <v>327</v>
      </c>
      <c r="L8" s="23" t="n">
        <f aca="false">INT(K8/PG)+1</f>
        <v>6</v>
      </c>
      <c r="M8" s="23" t="n">
        <f aca="false">MAX(L8,CEILING((K8+Anlagen!F8)/PG,1))</f>
        <v>9</v>
      </c>
      <c r="N8" s="23" t="str">
        <f aca="false">IFERROR(INDEX(Anlagen!$B$5:$B$92,MATCH(C8,Anlagen!$A$5:$A$92,0)),"?")&amp;": GW "&amp;L8&amp;IF(M8&gt;L8,"–"&amp;M8,"")</f>
        <v>Feierabend: GW 6–9</v>
      </c>
      <c r="O8" s="31" t="n">
        <f aca="false">Buchungsquote!V8</f>
        <v>79.5537330316742</v>
      </c>
      <c r="P8" s="23" t="str">
        <f aca="false">IF(ISNA(MATCH(C8,Anlagen!$A$5:$A$92,0)),"Fehler: Standort unbekannt",IF(C8=A8,"OK",IF(INDEX($C$5:$C$92,MATCH(C8,Anlagen!$A$5:$A$92,0))&lt;&gt;C8,"Fehler: Standort hängt selbst an anderem Standort",IF(D8=A8,"Fehler: Zuleitung von sich selbst",IF(ISNA(MATCH(D8,Anlagen!$A$5:$A$92,0)),"Fehler: Zuleitung unbekannt",IF(INDEX($C$5:$C$92,MATCH(D8,Anlagen!$A$5:$A$92,0))&lt;&gt;C8,"Fehler: Zuleitung hängt an anderem Standort","OK"))))))</f>
        <v>OK</v>
      </c>
      <c r="Q8" s="23" t="str">
        <f aca="false">Anlagen!AA8</f>
        <v>ABRUH</v>
      </c>
      <c r="R8" s="23" t="n">
        <f aca="false">IF(Anlagen!AB8&lt;&gt;"",Anlagen!AB8,COUNTIFS($C$5:$C$92,C8,$J$5:$J$92,"&lt;"&amp;J8)+1)</f>
        <v>3</v>
      </c>
      <c r="S8" s="23" t="n">
        <f aca="false">1000+200*(R8-1)+1</f>
        <v>1401</v>
      </c>
      <c r="T8" s="23" t="n">
        <f aca="false">1000+200*(R8-1)+Anlagen!F8</f>
        <v>1542</v>
      </c>
      <c r="U8" s="23" t="n">
        <f aca="false">100+A8</f>
        <v>104</v>
      </c>
      <c r="V8" s="23" t="n">
        <f aca="false">200+A8</f>
        <v>204</v>
      </c>
      <c r="W8" s="23" t="n">
        <f aca="false">300+A8</f>
        <v>304</v>
      </c>
      <c r="X8" s="23" t="str">
        <f aca="false">"10."&amp;A8&amp;".1.0/24"</f>
        <v>10.4.1.0/24</v>
      </c>
      <c r="Y8" s="23" t="str">
        <f aca="false">IF(R8&gt;15,"Fehler: VLAN-Block über 15",IF(COUNTIFS($C$5:$C$92,C8,$R$5:$R$92,R8)&gt;1,"Fehler: VLAN-Block am Standort doppelt",IF(COUNTIF($Q$5:$Q$92,Q8)&gt;1,"Fehler: Kürzel doppelt",IF(Anlagen!F8&gt;199,"Fehler: mehr als 199 Parzellen","OK"))))</f>
        <v>OK</v>
      </c>
    </row>
    <row r="9" customFormat="false" ht="15" hidden="false" customHeight="false" outlineLevel="0" collapsed="false">
      <c r="A9" s="23" t="n">
        <f aca="false">Anlagen!A9</f>
        <v>5</v>
      </c>
      <c r="B9" s="23" t="str">
        <f aca="false">Anlagen!B9</f>
        <v>Abendsonne</v>
      </c>
      <c r="C9" s="23" t="n">
        <f aca="false">IF(Anlagen!S9&lt;&gt;"",Anlagen!S9,IF(Vorschlag_nutzen=1,Anlagen!Q9,A9))</f>
        <v>23</v>
      </c>
      <c r="D9" s="23" t="n">
        <f aca="false">IF(C9=A9,"",IF(Anlagen!T9&lt;&gt;"",Anlagen!T9,IF(AND(Anlagen!S9="",Vorschlag_nutzen=1,Anlagen!R9&lt;&gt;""),Anlagen!R9,C9)))</f>
        <v>24</v>
      </c>
      <c r="E9" s="23" t="str">
        <f aca="false">IF(C9=A9,IF(COUNTIF($C$5:$C$92,A9)&gt;1,"Gateway-Standort","eigenständig"),"über "&amp;IFERROR(INDEX(Anlagen!$B$5:$B$92,MATCH(D9,Anlagen!$A$5:$A$92,0)),"?"))</f>
        <v>über Einheit</v>
      </c>
      <c r="F9" s="36" t="n">
        <f aca="false">IF(C9=A9,0,IF(Anlagen!V9&lt;&gt;"",Anlagen!V9/1000,IFERROR(SQRT((Anlagen!N9-INDEX(Anlagen!$N$5:$N$92,MATCH(D9,Anlagen!$A$5:$A$92,0)))^2+(Anlagen!O9-INDEX(Anlagen!$O$5:$O$92,MATCH(D9,Anlagen!$A$5:$A$92,0)))^2),0)))</f>
        <v>0.417252920900502</v>
      </c>
      <c r="G9" s="37" t="n">
        <f aca="false">IF(C9=A9,0,IF(Anlagen!V9&lt;&gt;"",Anlagen!V9,F9*1000*Umweg))</f>
        <v>542.428797170652</v>
      </c>
      <c r="H9" s="38" t="n">
        <f aca="false">IF(C9=A9,0,(G9*(P_Faser+P_Tiefbau)+2*P_SFP+P_MontZul)*EK)</f>
        <v>1198.85740294961</v>
      </c>
      <c r="I9" s="38" t="n">
        <f aca="false">IF(C9=A9,0,(P_Saeule+P_Flex+P_NT+P_Halter+P_Luefter+P_Spleiss+P_Ueber)*EK)</f>
        <v>851.326</v>
      </c>
      <c r="J9" s="23" t="n">
        <f aca="false">IF(Anlagen!U9&lt;&gt;"",Anlagen!U9,IF(C9=A9,500,1000)+ROW())</f>
        <v>1009</v>
      </c>
      <c r="K9" s="37" t="n">
        <f aca="false">SUMIFS(Anlagen!$F$5:$F$92,$C$5:$C$92,C9,$J$5:$J$92,"&lt;"&amp;J9)</f>
        <v>123</v>
      </c>
      <c r="L9" s="23" t="n">
        <f aca="false">INT(K9/PG)+1</f>
        <v>3</v>
      </c>
      <c r="M9" s="23" t="n">
        <f aca="false">MAX(L9,CEILING((K9+Anlagen!F9)/PG,1))</f>
        <v>4</v>
      </c>
      <c r="N9" s="23" t="str">
        <f aca="false">IFERROR(INDEX(Anlagen!$B$5:$B$92,MATCH(C9,Anlagen!$A$5:$A$92,0)),"?")&amp;": GW "&amp;L9&amp;IF(M9&gt;L9,"–"&amp;M9,"")</f>
        <v>Eigener Fleiß: GW 3–4</v>
      </c>
      <c r="O9" s="31" t="n">
        <f aca="false">Buchungsquote!V9</f>
        <v>33.75</v>
      </c>
      <c r="P9" s="23" t="str">
        <f aca="false">IF(ISNA(MATCH(C9,Anlagen!$A$5:$A$92,0)),"Fehler: Standort unbekannt",IF(C9=A9,"OK",IF(INDEX($C$5:$C$92,MATCH(C9,Anlagen!$A$5:$A$92,0))&lt;&gt;C9,"Fehler: Standort hängt selbst an anderem Standort",IF(D9=A9,"Fehler: Zuleitung von sich selbst",IF(ISNA(MATCH(D9,Anlagen!$A$5:$A$92,0)),"Fehler: Zuleitung unbekannt",IF(INDEX($C$5:$C$92,MATCH(D9,Anlagen!$A$5:$A$92,0))&lt;&gt;C9,"Fehler: Zuleitung hängt an anderem Standort","OK"))))))</f>
        <v>OK</v>
      </c>
      <c r="Q9" s="23" t="str">
        <f aca="false">Anlagen!AA9</f>
        <v>ABSON</v>
      </c>
      <c r="R9" s="23" t="n">
        <f aca="false">IF(Anlagen!AB9&lt;&gt;"",Anlagen!AB9,COUNTIFS($C$5:$C$92,C9,$J$5:$J$92,"&lt;"&amp;J9)+1)</f>
        <v>2</v>
      </c>
      <c r="S9" s="23" t="n">
        <f aca="false">1000+200*(R9-1)+1</f>
        <v>1201</v>
      </c>
      <c r="T9" s="23" t="n">
        <f aca="false">1000+200*(R9-1)+Anlagen!F9</f>
        <v>1267</v>
      </c>
      <c r="U9" s="23" t="n">
        <f aca="false">100+A9</f>
        <v>105</v>
      </c>
      <c r="V9" s="23" t="n">
        <f aca="false">200+A9</f>
        <v>205</v>
      </c>
      <c r="W9" s="23" t="n">
        <f aca="false">300+A9</f>
        <v>305</v>
      </c>
      <c r="X9" s="23" t="str">
        <f aca="false">"10."&amp;A9&amp;".1.0/24"</f>
        <v>10.5.1.0/24</v>
      </c>
      <c r="Y9" s="23" t="str">
        <f aca="false">IF(R9&gt;15,"Fehler: VLAN-Block über 15",IF(COUNTIFS($C$5:$C$92,C9,$R$5:$R$92,R9)&gt;1,"Fehler: VLAN-Block am Standort doppelt",IF(COUNTIF($Q$5:$Q$92,Q9)&gt;1,"Fehler: Kürzel doppelt",IF(Anlagen!F9&gt;199,"Fehler: mehr als 199 Parzellen","OK"))))</f>
        <v>OK</v>
      </c>
    </row>
    <row r="10" customFormat="false" ht="15" hidden="false" customHeight="false" outlineLevel="0" collapsed="false">
      <c r="A10" s="23" t="n">
        <f aca="false">Anlagen!A10</f>
        <v>6</v>
      </c>
      <c r="B10" s="23" t="str">
        <f aca="false">Anlagen!B10</f>
        <v>Altstadt Forst</v>
      </c>
      <c r="C10" s="23" t="n">
        <f aca="false">IF(Anlagen!S10&lt;&gt;"",Anlagen!S10,IF(Vorschlag_nutzen=1,Anlagen!Q10,A10))</f>
        <v>33</v>
      </c>
      <c r="D10" s="23" t="n">
        <f aca="false">IF(C10=A10,"",IF(Anlagen!T10&lt;&gt;"",Anlagen!T10,IF(AND(Anlagen!S10="",Vorschlag_nutzen=1,Anlagen!R10&lt;&gt;""),Anlagen!R10,C10)))</f>
        <v>33</v>
      </c>
      <c r="E10" s="23" t="str">
        <f aca="false">IF(C10=A10,IF(COUNTIF($C$5:$C$92,A10)&gt;1,"Gateway-Standort","eigenständig"),"über "&amp;IFERROR(INDEX(Anlagen!$B$5:$B$92,MATCH(D10,Anlagen!$A$5:$A$92,0)),"?"))</f>
        <v>über Fohrder Landstraße</v>
      </c>
      <c r="F10" s="36" t="n">
        <f aca="false">IF(C10=A10,0,IF(Anlagen!V10&lt;&gt;"",Anlagen!V10/1000,IFERROR(SQRT((Anlagen!N10-INDEX(Anlagen!$N$5:$N$92,MATCH(D10,Anlagen!$A$5:$A$92,0)))^2+(Anlagen!O10-INDEX(Anlagen!$O$5:$O$92,MATCH(D10,Anlagen!$A$5:$A$92,0)))^2),0)))</f>
        <v>0.453100430368368</v>
      </c>
      <c r="G10" s="37" t="n">
        <f aca="false">IF(C10=A10,0,IF(Anlagen!V10&lt;&gt;"",Anlagen!V10,F10*1000*Umweg))</f>
        <v>589.030559478878</v>
      </c>
      <c r="H10" s="38" t="n">
        <f aca="false">IF(C10=A10,0,(G10*(P_Faser+P_Tiefbau)+2*P_SFP+P_MontZul)*EK)</f>
        <v>1282.0415486698</v>
      </c>
      <c r="I10" s="38" t="n">
        <f aca="false">IF(C10=A10,0,(P_Saeule+P_Flex+P_NT+P_Halter+P_Luefter+P_Spleiss+P_Ueber)*EK)</f>
        <v>851.326</v>
      </c>
      <c r="J10" s="23" t="n">
        <f aca="false">IF(Anlagen!U10&lt;&gt;"",Anlagen!U10,IF(C10=A10,500,1000)+ROW())</f>
        <v>1010</v>
      </c>
      <c r="K10" s="37" t="n">
        <f aca="false">SUMIFS(Anlagen!$F$5:$F$92,$C$5:$C$92,C10,$J$5:$J$92,"&lt;"&amp;J10)</f>
        <v>157</v>
      </c>
      <c r="L10" s="23" t="n">
        <f aca="false">INT(K10/PG)+1</f>
        <v>3</v>
      </c>
      <c r="M10" s="23" t="n">
        <f aca="false">MAX(L10,CEILING((K10+Anlagen!F10)/PG,1))</f>
        <v>5</v>
      </c>
      <c r="N10" s="23" t="str">
        <f aca="false">IFERROR(INDEX(Anlagen!$B$5:$B$92,MATCH(C10,Anlagen!$A$5:$A$92,0)),"?")&amp;": GW "&amp;L10&amp;IF(M10&gt;L10,"–"&amp;M10,"")</f>
        <v>Fohrder Landstraße: GW 3–5</v>
      </c>
      <c r="O10" s="31" t="n">
        <f aca="false">Buchungsquote!V10</f>
        <v>49.3009049773756</v>
      </c>
      <c r="P10" s="23" t="str">
        <f aca="false">IF(ISNA(MATCH(C10,Anlagen!$A$5:$A$92,0)),"Fehler: Standort unbekannt",IF(C10=A10,"OK",IF(INDEX($C$5:$C$92,MATCH(C10,Anlagen!$A$5:$A$92,0))&lt;&gt;C10,"Fehler: Standort hängt selbst an anderem Standort",IF(D10=A10,"Fehler: Zuleitung von sich selbst",IF(ISNA(MATCH(D10,Anlagen!$A$5:$A$92,0)),"Fehler: Zuleitung unbekannt",IF(INDEX($C$5:$C$92,MATCH(D10,Anlagen!$A$5:$A$92,0))&lt;&gt;C10,"Fehler: Zuleitung hängt an anderem Standort","OK"))))))</f>
        <v>OK</v>
      </c>
      <c r="Q10" s="23" t="str">
        <f aca="false">Anlagen!AA10</f>
        <v>ALTFO</v>
      </c>
      <c r="R10" s="23" t="n">
        <f aca="false">IF(Anlagen!AB10&lt;&gt;"",Anlagen!AB10,COUNTIFS($C$5:$C$92,C10,$J$5:$J$92,"&lt;"&amp;J10)+1)</f>
        <v>3</v>
      </c>
      <c r="S10" s="23" t="n">
        <f aca="false">1000+200*(R10-1)+1</f>
        <v>1401</v>
      </c>
      <c r="T10" s="23" t="n">
        <f aca="false">1000+200*(R10-1)+Anlagen!F10</f>
        <v>1488</v>
      </c>
      <c r="U10" s="23" t="n">
        <f aca="false">100+A10</f>
        <v>106</v>
      </c>
      <c r="V10" s="23" t="n">
        <f aca="false">200+A10</f>
        <v>206</v>
      </c>
      <c r="W10" s="23" t="n">
        <f aca="false">300+A10</f>
        <v>306</v>
      </c>
      <c r="X10" s="23" t="str">
        <f aca="false">"10."&amp;A10&amp;".1.0/24"</f>
        <v>10.6.1.0/24</v>
      </c>
      <c r="Y10" s="23" t="str">
        <f aca="false">IF(R10&gt;15,"Fehler: VLAN-Block über 15",IF(COUNTIFS($C$5:$C$92,C10,$R$5:$R$92,R10)&gt;1,"Fehler: VLAN-Block am Standort doppelt",IF(COUNTIF($Q$5:$Q$92,Q10)&gt;1,"Fehler: Kürzel doppelt",IF(Anlagen!F10&gt;199,"Fehler: mehr als 199 Parzellen","OK"))))</f>
        <v>OK</v>
      </c>
    </row>
    <row r="11" customFormat="false" ht="15" hidden="false" customHeight="false" outlineLevel="0" collapsed="false">
      <c r="A11" s="23" t="n">
        <f aca="false">Anlagen!A11</f>
        <v>7</v>
      </c>
      <c r="B11" s="23" t="str">
        <f aca="false">Anlagen!B11</f>
        <v>Am Beetzseeufer</v>
      </c>
      <c r="C11" s="23" t="n">
        <f aca="false">IF(Anlagen!S11&lt;&gt;"",Anlagen!S11,IF(Vorschlag_nutzen=1,Anlagen!Q11,A11))</f>
        <v>49</v>
      </c>
      <c r="D11" s="23" t="n">
        <f aca="false">IF(C11=A11,"",IF(Anlagen!T11&lt;&gt;"",Anlagen!T11,IF(AND(Anlagen!S11="",Vorschlag_nutzen=1,Anlagen!R11&lt;&gt;""),Anlagen!R11,C11)))</f>
        <v>88</v>
      </c>
      <c r="E11" s="23" t="str">
        <f aca="false">IF(C11=A11,IF(COUNTIF($C$5:$C$92,A11)&gt;1,"Gateway-Standort","eigenständig"),"über "&amp;IFERROR(INDEX(Anlagen!$B$5:$B$92,MATCH(D11,Anlagen!$A$5:$A$92,0)),"?"))</f>
        <v>über Zur Insel</v>
      </c>
      <c r="F11" s="36" t="n">
        <f aca="false">IF(C11=A11,0,IF(Anlagen!V11&lt;&gt;"",Anlagen!V11/1000,IFERROR(SQRT((Anlagen!N11-INDEX(Anlagen!$N$5:$N$92,MATCH(D11,Anlagen!$A$5:$A$92,0)))^2+(Anlagen!O11-INDEX(Anlagen!$O$5:$O$92,MATCH(D11,Anlagen!$A$5:$A$92,0)))^2),0)))</f>
        <v>0.933005894943864</v>
      </c>
      <c r="G11" s="37" t="n">
        <f aca="false">IF(C11=A11,0,IF(Anlagen!V11&lt;&gt;"",Anlagen!V11,F11*1000*Umweg))</f>
        <v>1212.90766342702</v>
      </c>
      <c r="H11" s="38" t="n">
        <f aca="false">IF(C11=A11,0,(G11*(P_Faser+P_Tiefbau)+2*P_SFP+P_MontZul)*EK)</f>
        <v>2395.66217921724</v>
      </c>
      <c r="I11" s="38" t="n">
        <f aca="false">IF(C11=A11,0,(P_Saeule+P_Flex+P_NT+P_Halter+P_Luefter+P_Spleiss+P_Ueber)*EK)</f>
        <v>851.326</v>
      </c>
      <c r="J11" s="23" t="n">
        <f aca="false">IF(Anlagen!U11&lt;&gt;"",Anlagen!U11,IF(C11=A11,500,1000)+ROW())</f>
        <v>1011</v>
      </c>
      <c r="K11" s="37" t="n">
        <f aca="false">SUMIFS(Anlagen!$F$5:$F$92,$C$5:$C$92,C11,$J$5:$J$92,"&lt;"&amp;J11)</f>
        <v>110</v>
      </c>
      <c r="L11" s="23" t="n">
        <f aca="false">INT(K11/PG)+1</f>
        <v>3</v>
      </c>
      <c r="M11" s="23" t="n">
        <f aca="false">MAX(L11,CEILING((K11+Anlagen!F11)/PG,1))</f>
        <v>4</v>
      </c>
      <c r="N11" s="23" t="str">
        <f aca="false">IFERROR(INDEX(Anlagen!$B$5:$B$92,MATCH(C11,Anlagen!$A$5:$A$92,0)),"?")&amp;": GW "&amp;L11&amp;IF(M11&gt;L11,"–"&amp;M11,"")</f>
        <v>Helgoland: GW 3–4</v>
      </c>
      <c r="O11" s="31" t="n">
        <f aca="false">Buchungsquote!V11</f>
        <v>48.7335910652921</v>
      </c>
      <c r="P11" s="23" t="str">
        <f aca="false">IF(ISNA(MATCH(C11,Anlagen!$A$5:$A$92,0)),"Fehler: Standort unbekannt",IF(C11=A11,"OK",IF(INDEX($C$5:$C$92,MATCH(C11,Anlagen!$A$5:$A$92,0))&lt;&gt;C11,"Fehler: Standort hängt selbst an anderem Standort",IF(D11=A11,"Fehler: Zuleitung von sich selbst",IF(ISNA(MATCH(D11,Anlagen!$A$5:$A$92,0)),"Fehler: Zuleitung unbekannt",IF(INDEX($C$5:$C$92,MATCH(D11,Anlagen!$A$5:$A$92,0))&lt;&gt;C11,"Fehler: Zuleitung hängt an anderem Standort","OK"))))))</f>
        <v>OK</v>
      </c>
      <c r="Q11" s="23" t="str">
        <f aca="false">Anlagen!AA11</f>
        <v>BEETZ</v>
      </c>
      <c r="R11" s="23" t="n">
        <f aca="false">IF(Anlagen!AB11&lt;&gt;"",Anlagen!AB11,COUNTIFS($C$5:$C$92,C11,$J$5:$J$92,"&lt;"&amp;J11)+1)</f>
        <v>2</v>
      </c>
      <c r="S11" s="23" t="n">
        <f aca="false">1000+200*(R11-1)+1</f>
        <v>1201</v>
      </c>
      <c r="T11" s="23" t="n">
        <f aca="false">1000+200*(R11-1)+Anlagen!F11</f>
        <v>1277</v>
      </c>
      <c r="U11" s="23" t="n">
        <f aca="false">100+A11</f>
        <v>107</v>
      </c>
      <c r="V11" s="23" t="n">
        <f aca="false">200+A11</f>
        <v>207</v>
      </c>
      <c r="W11" s="23" t="n">
        <f aca="false">300+A11</f>
        <v>307</v>
      </c>
      <c r="X11" s="23" t="str">
        <f aca="false">"10."&amp;A11&amp;".1.0/24"</f>
        <v>10.7.1.0/24</v>
      </c>
      <c r="Y11" s="23" t="str">
        <f aca="false">IF(R11&gt;15,"Fehler: VLAN-Block über 15",IF(COUNTIFS($C$5:$C$92,C11,$R$5:$R$92,R11)&gt;1,"Fehler: VLAN-Block am Standort doppelt",IF(COUNTIF($Q$5:$Q$92,Q11)&gt;1,"Fehler: Kürzel doppelt",IF(Anlagen!F11&gt;199,"Fehler: mehr als 199 Parzellen","OK"))))</f>
        <v>OK</v>
      </c>
    </row>
    <row r="12" customFormat="false" ht="15" hidden="false" customHeight="false" outlineLevel="0" collapsed="false">
      <c r="A12" s="23" t="n">
        <f aca="false">Anlagen!A12</f>
        <v>8</v>
      </c>
      <c r="B12" s="23" t="str">
        <f aca="false">Anlagen!B12</f>
        <v>Am Büttelhandfassgraben</v>
      </c>
      <c r="C12" s="23" t="n">
        <f aca="false">IF(Anlagen!S12&lt;&gt;"",Anlagen!S12,IF(Vorschlag_nutzen=1,Anlagen!Q12,A12))</f>
        <v>49</v>
      </c>
      <c r="D12" s="23" t="n">
        <f aca="false">IF(C12=A12,"",IF(Anlagen!T12&lt;&gt;"",Anlagen!T12,IF(AND(Anlagen!S12="",Vorschlag_nutzen=1,Anlagen!R12&lt;&gt;""),Anlagen!R12,C12)))</f>
        <v>50</v>
      </c>
      <c r="E12" s="23" t="str">
        <f aca="false">IF(C12=A12,IF(COUNTIF($C$5:$C$92,A12)&gt;1,"Gateway-Standort","eigenständig"),"über "&amp;IFERROR(INDEX(Anlagen!$B$5:$B$92,MATCH(D12,Anlagen!$A$5:$A$92,0)),"?"))</f>
        <v>über Hoffnung</v>
      </c>
      <c r="F12" s="36" t="n">
        <f aca="false">IF(C12=A12,0,IF(Anlagen!V12&lt;&gt;"",Anlagen!V12/1000,IFERROR(SQRT((Anlagen!N12-INDEX(Anlagen!$N$5:$N$92,MATCH(D12,Anlagen!$A$5:$A$92,0)))^2+(Anlagen!O12-INDEX(Anlagen!$O$5:$O$92,MATCH(D12,Anlagen!$A$5:$A$92,0)))^2),0)))</f>
        <v>0.0670820393249927</v>
      </c>
      <c r="G12" s="37" t="n">
        <f aca="false">IF(C12=A12,0,IF(Anlagen!V12&lt;&gt;"",Anlagen!V12,F12*1000*Umweg))</f>
        <v>87.2066511224904</v>
      </c>
      <c r="H12" s="38" t="n">
        <f aca="false">IF(C12=A12,0,(G12*(P_Faser+P_Tiefbau)+2*P_SFP+P_MontZul)*EK)</f>
        <v>386.285872253645</v>
      </c>
      <c r="I12" s="38" t="n">
        <f aca="false">IF(C12=A12,0,(P_Saeule+P_Flex+P_NT+P_Halter+P_Luefter+P_Spleiss+P_Ueber)*EK)</f>
        <v>851.326</v>
      </c>
      <c r="J12" s="23" t="n">
        <f aca="false">IF(Anlagen!U12&lt;&gt;"",Anlagen!U12,IF(C12=A12,500,1000)+ROW())</f>
        <v>1012</v>
      </c>
      <c r="K12" s="37" t="n">
        <f aca="false">SUMIFS(Anlagen!$F$5:$F$92,$C$5:$C$92,C12,$J$5:$J$92,"&lt;"&amp;J12)</f>
        <v>187</v>
      </c>
      <c r="L12" s="23" t="n">
        <f aca="false">INT(K12/PG)+1</f>
        <v>4</v>
      </c>
      <c r="M12" s="23" t="n">
        <f aca="false">MAX(L12,CEILING((K12+Anlagen!F12)/PG,1))</f>
        <v>4</v>
      </c>
      <c r="N12" s="23" t="str">
        <f aca="false">IFERROR(INDEX(Anlagen!$B$5:$B$92,MATCH(C12,Anlagen!$A$5:$A$92,0)),"?")&amp;": GW "&amp;L12&amp;IF(M12&gt;L12,"–"&amp;M12,"")</f>
        <v>Helgoland: GW 4</v>
      </c>
      <c r="O12" s="31" t="n">
        <f aca="false">Buchungsquote!V12</f>
        <v>3.39285714285714</v>
      </c>
      <c r="P12" s="23" t="str">
        <f aca="false">IF(ISNA(MATCH(C12,Anlagen!$A$5:$A$92,0)),"Fehler: Standort unbekannt",IF(C12=A12,"OK",IF(INDEX($C$5:$C$92,MATCH(C12,Anlagen!$A$5:$A$92,0))&lt;&gt;C12,"Fehler: Standort hängt selbst an anderem Standort",IF(D12=A12,"Fehler: Zuleitung von sich selbst",IF(ISNA(MATCH(D12,Anlagen!$A$5:$A$92,0)),"Fehler: Zuleitung unbekannt",IF(INDEX($C$5:$C$92,MATCH(D12,Anlagen!$A$5:$A$92,0))&lt;&gt;C12,"Fehler: Zuleitung hängt an anderem Standort","OK"))))))</f>
        <v>OK</v>
      </c>
      <c r="Q12" s="23" t="str">
        <f aca="false">Anlagen!AA12</f>
        <v>BUETT</v>
      </c>
      <c r="R12" s="23" t="n">
        <f aca="false">IF(Anlagen!AB12&lt;&gt;"",Anlagen!AB12,COUNTIFS($C$5:$C$92,C12,$J$5:$J$92,"&lt;"&amp;J12)+1)</f>
        <v>3</v>
      </c>
      <c r="S12" s="23" t="n">
        <f aca="false">1000+200*(R12-1)+1</f>
        <v>1401</v>
      </c>
      <c r="T12" s="23" t="n">
        <f aca="false">1000+200*(R12-1)+Anlagen!F12</f>
        <v>1405</v>
      </c>
      <c r="U12" s="23" t="n">
        <f aca="false">100+A12</f>
        <v>108</v>
      </c>
      <c r="V12" s="23" t="n">
        <f aca="false">200+A12</f>
        <v>208</v>
      </c>
      <c r="W12" s="23" t="n">
        <f aca="false">300+A12</f>
        <v>308</v>
      </c>
      <c r="X12" s="23" t="str">
        <f aca="false">"10."&amp;A12&amp;".1.0/24"</f>
        <v>10.8.1.0/24</v>
      </c>
      <c r="Y12" s="23" t="str">
        <f aca="false">IF(R12&gt;15,"Fehler: VLAN-Block über 15",IF(COUNTIFS($C$5:$C$92,C12,$R$5:$R$92,R12)&gt;1,"Fehler: VLAN-Block am Standort doppelt",IF(COUNTIF($Q$5:$Q$92,Q12)&gt;1,"Fehler: Kürzel doppelt",IF(Anlagen!F12&gt;199,"Fehler: mehr als 199 Parzellen","OK"))))</f>
        <v>OK</v>
      </c>
    </row>
    <row r="13" customFormat="false" ht="15" hidden="false" customHeight="false" outlineLevel="0" collapsed="false">
      <c r="A13" s="23" t="n">
        <f aca="false">Anlagen!A13</f>
        <v>9</v>
      </c>
      <c r="B13" s="23" t="str">
        <f aca="false">Anlagen!B13</f>
        <v>Am Eichenweg</v>
      </c>
      <c r="C13" s="23" t="n">
        <f aca="false">IF(Anlagen!S13&lt;&gt;"",Anlagen!S13,IF(Vorschlag_nutzen=1,Anlagen!Q13,A13))</f>
        <v>17</v>
      </c>
      <c r="D13" s="23" t="n">
        <f aca="false">IF(C13=A13,"",IF(Anlagen!T13&lt;&gt;"",Anlagen!T13,IF(AND(Anlagen!S13="",Vorschlag_nutzen=1,Anlagen!R13&lt;&gt;""),Anlagen!R13,C13)))</f>
        <v>17</v>
      </c>
      <c r="E13" s="23" t="str">
        <f aca="false">IF(C13=A13,IF(COUNTIF($C$5:$C$92,A13)&gt;1,"Gateway-Standort","eigenständig"),"über "&amp;IFERROR(INDEX(Anlagen!$B$5:$B$92,MATCH(D13,Anlagen!$A$5:$A$92,0)),"?"))</f>
        <v>über Birkenwäldchen</v>
      </c>
      <c r="F13" s="36" t="n">
        <f aca="false">IF(C13=A13,0,IF(Anlagen!V13&lt;&gt;"",Anlagen!V13/1000,IFERROR(SQRT((Anlagen!N13-INDEX(Anlagen!$N$5:$N$92,MATCH(D13,Anlagen!$A$5:$A$92,0)))^2+(Anlagen!O13-INDEX(Anlagen!$O$5:$O$92,MATCH(D13,Anlagen!$A$5:$A$92,0)))^2),0)))</f>
        <v>1.37927517196533</v>
      </c>
      <c r="G13" s="37" t="n">
        <f aca="false">IF(C13=A13,0,IF(Anlagen!V13&lt;&gt;"",Anlagen!V13,F13*1000*Umweg))</f>
        <v>1793.05772355493</v>
      </c>
      <c r="H13" s="38" t="n">
        <f aca="false">IF(C13=A13,0,(G13*(P_Faser+P_Tiefbau)+2*P_SFP+P_MontZul)*EK)</f>
        <v>3431.23003654556</v>
      </c>
      <c r="I13" s="38" t="n">
        <f aca="false">IF(C13=A13,0,(P_Saeule+P_Flex+P_NT+P_Halter+P_Luefter+P_Spleiss+P_Ueber)*EK)</f>
        <v>851.326</v>
      </c>
      <c r="J13" s="23" t="n">
        <f aca="false">IF(Anlagen!U13&lt;&gt;"",Anlagen!U13,IF(C13=A13,500,1000)+ROW())</f>
        <v>1013</v>
      </c>
      <c r="K13" s="37" t="n">
        <f aca="false">SUMIFS(Anlagen!$F$5:$F$92,$C$5:$C$92,C13,$J$5:$J$92,"&lt;"&amp;J13)</f>
        <v>56</v>
      </c>
      <c r="L13" s="23" t="n">
        <f aca="false">INT(K13/PG)+1</f>
        <v>2</v>
      </c>
      <c r="M13" s="23" t="n">
        <f aca="false">MAX(L13,CEILING((K13+Anlagen!F13)/PG,1))</f>
        <v>2</v>
      </c>
      <c r="N13" s="23" t="str">
        <f aca="false">IFERROR(INDEX(Anlagen!$B$5:$B$92,MATCH(C13,Anlagen!$A$5:$A$92,0)),"?")&amp;": GW "&amp;L13&amp;IF(M13&gt;L13,"–"&amp;M13,"")</f>
        <v>Birkenwäldchen: GW 2</v>
      </c>
      <c r="O13" s="31" t="n">
        <f aca="false">Buchungsquote!V13</f>
        <v>30.1716</v>
      </c>
      <c r="P13" s="23" t="str">
        <f aca="false">IF(ISNA(MATCH(C13,Anlagen!$A$5:$A$92,0)),"Fehler: Standort unbekannt",IF(C13=A13,"OK",IF(INDEX($C$5:$C$92,MATCH(C13,Anlagen!$A$5:$A$92,0))&lt;&gt;C13,"Fehler: Standort hängt selbst an anderem Standort",IF(D13=A13,"Fehler: Zuleitung von sich selbst",IF(ISNA(MATCH(D13,Anlagen!$A$5:$A$92,0)),"Fehler: Zuleitung unbekannt",IF(INDEX($C$5:$C$92,MATCH(D13,Anlagen!$A$5:$A$92,0))&lt;&gt;C13,"Fehler: Zuleitung hängt an anderem Standort","OK"))))))</f>
        <v>OK</v>
      </c>
      <c r="Q13" s="23" t="str">
        <f aca="false">Anlagen!AA13</f>
        <v>EICHW</v>
      </c>
      <c r="R13" s="23" t="n">
        <f aca="false">IF(Anlagen!AB13&lt;&gt;"",Anlagen!AB13,COUNTIFS($C$5:$C$92,C13,$J$5:$J$92,"&lt;"&amp;J13)+1)</f>
        <v>2</v>
      </c>
      <c r="S13" s="23" t="n">
        <f aca="false">1000+200*(R13-1)+1</f>
        <v>1201</v>
      </c>
      <c r="T13" s="23" t="n">
        <f aca="false">1000+200*(R13-1)+Anlagen!F13</f>
        <v>1254</v>
      </c>
      <c r="U13" s="23" t="n">
        <f aca="false">100+A13</f>
        <v>109</v>
      </c>
      <c r="V13" s="23" t="n">
        <f aca="false">200+A13</f>
        <v>209</v>
      </c>
      <c r="W13" s="23" t="n">
        <f aca="false">300+A13</f>
        <v>309</v>
      </c>
      <c r="X13" s="23" t="str">
        <f aca="false">"10."&amp;A13&amp;".1.0/24"</f>
        <v>10.9.1.0/24</v>
      </c>
      <c r="Y13" s="23" t="str">
        <f aca="false">IF(R13&gt;15,"Fehler: VLAN-Block über 15",IF(COUNTIFS($C$5:$C$92,C13,$R$5:$R$92,R13)&gt;1,"Fehler: VLAN-Block am Standort doppelt",IF(COUNTIF($Q$5:$Q$92,Q13)&gt;1,"Fehler: Kürzel doppelt",IF(Anlagen!F13&gt;199,"Fehler: mehr als 199 Parzellen","OK"))))</f>
        <v>OK</v>
      </c>
    </row>
    <row r="14" customFormat="false" ht="15" hidden="false" customHeight="false" outlineLevel="0" collapsed="false">
      <c r="A14" s="23" t="n">
        <f aca="false">Anlagen!A14</f>
        <v>10</v>
      </c>
      <c r="B14" s="23" t="str">
        <f aca="false">Anlagen!B14</f>
        <v>Am Jakobsgraben</v>
      </c>
      <c r="C14" s="23" t="n">
        <f aca="false">IF(Anlagen!S14&lt;&gt;"",Anlagen!S14,IF(Vorschlag_nutzen=1,Anlagen!Q14,A14))</f>
        <v>17</v>
      </c>
      <c r="D14" s="23" t="n">
        <f aca="false">IF(C14=A14,"",IF(Anlagen!T14&lt;&gt;"",Anlagen!T14,IF(AND(Anlagen!S14="",Vorschlag_nutzen=1,Anlagen!R14&lt;&gt;""),Anlagen!R14,C14)))</f>
        <v>27</v>
      </c>
      <c r="E14" s="23" t="str">
        <f aca="false">IF(C14=A14,IF(COUNTIF($C$5:$C$92,A14)&gt;1,"Gateway-Standort","eigenständig"),"über "&amp;IFERROR(INDEX(Anlagen!$B$5:$B$92,MATCH(D14,Anlagen!$A$5:$A$92,0)),"?"))</f>
        <v>über Eintracht II</v>
      </c>
      <c r="F14" s="36" t="n">
        <f aca="false">IF(C14=A14,0,IF(Anlagen!V14&lt;&gt;"",Anlagen!V14/1000,IFERROR(SQRT((Anlagen!N14-INDEX(Anlagen!$N$5:$N$92,MATCH(D14,Anlagen!$A$5:$A$92,0)))^2+(Anlagen!O14-INDEX(Anlagen!$O$5:$O$92,MATCH(D14,Anlagen!$A$5:$A$92,0)))^2),0)))</f>
        <v>1.1216059914248</v>
      </c>
      <c r="G14" s="37" t="n">
        <f aca="false">IF(C14=A14,0,IF(Anlagen!V14&lt;&gt;"",Anlagen!V14,F14*1000*Umweg))</f>
        <v>1458.08778885224</v>
      </c>
      <c r="H14" s="38" t="n">
        <f aca="false">IF(C14=A14,0,(G14*(P_Faser+P_Tiefbau)+2*P_SFP+P_MontZul)*EK)</f>
        <v>2833.30870310124</v>
      </c>
      <c r="I14" s="38" t="n">
        <f aca="false">IF(C14=A14,0,(P_Saeule+P_Flex+P_NT+P_Halter+P_Luefter+P_Spleiss+P_Ueber)*EK)</f>
        <v>851.326</v>
      </c>
      <c r="J14" s="23" t="n">
        <f aca="false">IF(Anlagen!U14&lt;&gt;"",Anlagen!U14,IF(C14=A14,500,1000)+ROW())</f>
        <v>1014</v>
      </c>
      <c r="K14" s="37" t="n">
        <f aca="false">SUMIFS(Anlagen!$F$5:$F$92,$C$5:$C$92,C14,$J$5:$J$92,"&lt;"&amp;J14)</f>
        <v>110</v>
      </c>
      <c r="L14" s="23" t="n">
        <f aca="false">INT(K14/PG)+1</f>
        <v>3</v>
      </c>
      <c r="M14" s="23" t="n">
        <f aca="false">MAX(L14,CEILING((K14+Anlagen!F14)/PG,1))</f>
        <v>3</v>
      </c>
      <c r="N14" s="23" t="str">
        <f aca="false">IFERROR(INDEX(Anlagen!$B$5:$B$92,MATCH(C14,Anlagen!$A$5:$A$92,0)),"?")&amp;": GW "&amp;L14&amp;IF(M14&gt;L14,"–"&amp;M14,"")</f>
        <v>Birkenwäldchen: GW 3</v>
      </c>
      <c r="O14" s="31" t="n">
        <f aca="false">Buchungsquote!V14</f>
        <v>18.6372005988024</v>
      </c>
      <c r="P14" s="23" t="str">
        <f aca="false">IF(ISNA(MATCH(C14,Anlagen!$A$5:$A$92,0)),"Fehler: Standort unbekannt",IF(C14=A14,"OK",IF(INDEX($C$5:$C$92,MATCH(C14,Anlagen!$A$5:$A$92,0))&lt;&gt;C14,"Fehler: Standort hängt selbst an anderem Standort",IF(D14=A14,"Fehler: Zuleitung von sich selbst",IF(ISNA(MATCH(D14,Anlagen!$A$5:$A$92,0)),"Fehler: Zuleitung unbekannt",IF(INDEX($C$5:$C$92,MATCH(D14,Anlagen!$A$5:$A$92,0))&lt;&gt;C14,"Fehler: Zuleitung hängt an anderem Standort","OK"))))))</f>
        <v>OK</v>
      </c>
      <c r="Q14" s="23" t="str">
        <f aca="false">Anlagen!AA14</f>
        <v>JAKGR</v>
      </c>
      <c r="R14" s="23" t="n">
        <f aca="false">IF(Anlagen!AB14&lt;&gt;"",Anlagen!AB14,COUNTIFS($C$5:$C$92,C14,$J$5:$J$92,"&lt;"&amp;J14)+1)</f>
        <v>3</v>
      </c>
      <c r="S14" s="23" t="n">
        <f aca="false">1000+200*(R14-1)+1</f>
        <v>1401</v>
      </c>
      <c r="T14" s="23" t="n">
        <f aca="false">1000+200*(R14-1)+Anlagen!F14</f>
        <v>1441</v>
      </c>
      <c r="U14" s="23" t="n">
        <f aca="false">100+A14</f>
        <v>110</v>
      </c>
      <c r="V14" s="23" t="n">
        <f aca="false">200+A14</f>
        <v>210</v>
      </c>
      <c r="W14" s="23" t="n">
        <f aca="false">300+A14</f>
        <v>310</v>
      </c>
      <c r="X14" s="23" t="str">
        <f aca="false">"10."&amp;A14&amp;".1.0/24"</f>
        <v>10.10.1.0/24</v>
      </c>
      <c r="Y14" s="23" t="str">
        <f aca="false">IF(R14&gt;15,"Fehler: VLAN-Block über 15",IF(COUNTIFS($C$5:$C$92,C14,$R$5:$R$92,R14)&gt;1,"Fehler: VLAN-Block am Standort doppelt",IF(COUNTIF($Q$5:$Q$92,Q14)&gt;1,"Fehler: Kürzel doppelt",IF(Anlagen!F14&gt;199,"Fehler: mehr als 199 Parzellen","OK"))))</f>
        <v>OK</v>
      </c>
    </row>
    <row r="15" customFormat="false" ht="15" hidden="false" customHeight="false" outlineLevel="0" collapsed="false">
      <c r="A15" s="23" t="n">
        <f aca="false">Anlagen!A15</f>
        <v>11</v>
      </c>
      <c r="B15" s="23" t="str">
        <f aca="false">Anlagen!B15</f>
        <v>Am Schafdamm</v>
      </c>
      <c r="C15" s="23" t="n">
        <f aca="false">IF(Anlagen!S15&lt;&gt;"",Anlagen!S15,IF(Vorschlag_nutzen=1,Anlagen!Q15,A15))</f>
        <v>33</v>
      </c>
      <c r="D15" s="23" t="n">
        <f aca="false">IF(C15=A15,"",IF(Anlagen!T15&lt;&gt;"",Anlagen!T15,IF(AND(Anlagen!S15="",Vorschlag_nutzen=1,Anlagen!R15&lt;&gt;""),Anlagen!R15,C15)))</f>
        <v>12</v>
      </c>
      <c r="E15" s="23" t="str">
        <f aca="false">IF(C15=A15,IF(COUNTIF($C$5:$C$92,A15)&gt;1,"Gateway-Standort","eigenständig"),"über "&amp;IFERROR(INDEX(Anlagen!$B$5:$B$92,MATCH(D15,Anlagen!$A$5:$A$92,0)),"?"))</f>
        <v>über Am Schlangenpfad</v>
      </c>
      <c r="F15" s="36" t="n">
        <f aca="false">IF(C15=A15,0,IF(Anlagen!V15&lt;&gt;"",Anlagen!V15/1000,IFERROR(SQRT((Anlagen!N15-INDEX(Anlagen!$N$5:$N$92,MATCH(D15,Anlagen!$A$5:$A$92,0)))^2+(Anlagen!O15-INDEX(Anlagen!$O$5:$O$92,MATCH(D15,Anlagen!$A$5:$A$92,0)))^2),0)))</f>
        <v>0.329848450049413</v>
      </c>
      <c r="G15" s="37" t="n">
        <f aca="false">IF(C15=A15,0,IF(Anlagen!V15&lt;&gt;"",Anlagen!V15,F15*1000*Umweg))</f>
        <v>428.802985064237</v>
      </c>
      <c r="H15" s="38" t="n">
        <f aca="false">IF(C15=A15,0,(G15*(P_Faser+P_Tiefbau)+2*P_SFP+P_MontZul)*EK)</f>
        <v>996.035328339663</v>
      </c>
      <c r="I15" s="38" t="n">
        <f aca="false">IF(C15=A15,0,(P_Saeule+P_Flex+P_NT+P_Halter+P_Luefter+P_Spleiss+P_Ueber)*EK)</f>
        <v>851.326</v>
      </c>
      <c r="J15" s="23" t="n">
        <f aca="false">IF(Anlagen!U15&lt;&gt;"",Anlagen!U15,IF(C15=A15,500,1000)+ROW())</f>
        <v>1015</v>
      </c>
      <c r="K15" s="37" t="n">
        <f aca="false">SUMIFS(Anlagen!$F$5:$F$92,$C$5:$C$92,C15,$J$5:$J$92,"&lt;"&amp;J15)</f>
        <v>245</v>
      </c>
      <c r="L15" s="23" t="n">
        <f aca="false">INT(K15/PG)+1</f>
        <v>5</v>
      </c>
      <c r="M15" s="23" t="n">
        <f aca="false">MAX(L15,CEILING((K15+Anlagen!F15)/PG,1))</f>
        <v>5</v>
      </c>
      <c r="N15" s="23" t="str">
        <f aca="false">IFERROR(INDEX(Anlagen!$B$5:$B$92,MATCH(C15,Anlagen!$A$5:$A$92,0)),"?")&amp;": GW "&amp;L15&amp;IF(M15&gt;L15,"–"&amp;M15,"")</f>
        <v>Fohrder Landstraße: GW 5</v>
      </c>
      <c r="O15" s="31" t="n">
        <f aca="false">Buchungsquote!V15</f>
        <v>4.62307692307692</v>
      </c>
      <c r="P15" s="23" t="str">
        <f aca="false">IF(ISNA(MATCH(C15,Anlagen!$A$5:$A$92,0)),"Fehler: Standort unbekannt",IF(C15=A15,"OK",IF(INDEX($C$5:$C$92,MATCH(C15,Anlagen!$A$5:$A$92,0))&lt;&gt;C15,"Fehler: Standort hängt selbst an anderem Standort",IF(D15=A15,"Fehler: Zuleitung von sich selbst",IF(ISNA(MATCH(D15,Anlagen!$A$5:$A$92,0)),"Fehler: Zuleitung unbekannt",IF(INDEX($C$5:$C$92,MATCH(D15,Anlagen!$A$5:$A$92,0))&lt;&gt;C15,"Fehler: Zuleitung hängt an anderem Standort","OK"))))))</f>
        <v>OK</v>
      </c>
      <c r="Q15" s="23" t="str">
        <f aca="false">Anlagen!AA15</f>
        <v>SCHAF</v>
      </c>
      <c r="R15" s="23" t="n">
        <f aca="false">IF(Anlagen!AB15&lt;&gt;"",Anlagen!AB15,COUNTIFS($C$5:$C$92,C15,$J$5:$J$92,"&lt;"&amp;J15)+1)</f>
        <v>4</v>
      </c>
      <c r="S15" s="23" t="n">
        <f aca="false">1000+200*(R15-1)+1</f>
        <v>1601</v>
      </c>
      <c r="T15" s="23" t="n">
        <f aca="false">1000+200*(R15-1)+Anlagen!F15</f>
        <v>1610</v>
      </c>
      <c r="U15" s="23" t="n">
        <f aca="false">100+A15</f>
        <v>111</v>
      </c>
      <c r="V15" s="23" t="n">
        <f aca="false">200+A15</f>
        <v>211</v>
      </c>
      <c r="W15" s="23" t="n">
        <f aca="false">300+A15</f>
        <v>311</v>
      </c>
      <c r="X15" s="23" t="str">
        <f aca="false">"10."&amp;A15&amp;".1.0/24"</f>
        <v>10.11.1.0/24</v>
      </c>
      <c r="Y15" s="23" t="str">
        <f aca="false">IF(R15&gt;15,"Fehler: VLAN-Block über 15",IF(COUNTIFS($C$5:$C$92,C15,$R$5:$R$92,R15)&gt;1,"Fehler: VLAN-Block am Standort doppelt",IF(COUNTIF($Q$5:$Q$92,Q15)&gt;1,"Fehler: Kürzel doppelt",IF(Anlagen!F15&gt;199,"Fehler: mehr als 199 Parzellen","OK"))))</f>
        <v>OK</v>
      </c>
    </row>
    <row r="16" customFormat="false" ht="15" hidden="false" customHeight="false" outlineLevel="0" collapsed="false">
      <c r="A16" s="23" t="n">
        <f aca="false">Anlagen!A16</f>
        <v>12</v>
      </c>
      <c r="B16" s="23" t="str">
        <f aca="false">Anlagen!B16</f>
        <v>Am Schlangenpfad</v>
      </c>
      <c r="C16" s="23" t="n">
        <f aca="false">IF(Anlagen!S16&lt;&gt;"",Anlagen!S16,IF(Vorschlag_nutzen=1,Anlagen!Q16,A16))</f>
        <v>33</v>
      </c>
      <c r="D16" s="23" t="n">
        <f aca="false">IF(C16=A16,"",IF(Anlagen!T16&lt;&gt;"",Anlagen!T16,IF(AND(Anlagen!S16="",Vorschlag_nutzen=1,Anlagen!R16&lt;&gt;""),Anlagen!R16,C16)))</f>
        <v>13</v>
      </c>
      <c r="E16" s="23" t="str">
        <f aca="false">IF(C16=A16,IF(COUNTIF($C$5:$C$92,A16)&gt;1,"Gateway-Standort","eigenständig"),"über "&amp;IFERROR(INDEX(Anlagen!$B$5:$B$92,MATCH(D16,Anlagen!$A$5:$A$92,0)),"?"))</f>
        <v>über Am Waldesrand</v>
      </c>
      <c r="F16" s="36" t="n">
        <f aca="false">IF(C16=A16,0,IF(Anlagen!V16&lt;&gt;"",Anlagen!V16/1000,IFERROR(SQRT((Anlagen!N16-INDEX(Anlagen!$N$5:$N$92,MATCH(D16,Anlagen!$A$5:$A$92,0)))^2+(Anlagen!O16-INDEX(Anlagen!$O$5:$O$92,MATCH(D16,Anlagen!$A$5:$A$92,0)))^2),0)))</f>
        <v>0.272029410174709</v>
      </c>
      <c r="G16" s="37" t="n">
        <f aca="false">IF(C16=A16,0,IF(Anlagen!V16&lt;&gt;"",Anlagen!V16,F16*1000*Umweg))</f>
        <v>353.638233227121</v>
      </c>
      <c r="H16" s="38" t="n">
        <f aca="false">IF(C16=A16,0,(G16*(P_Faser+P_Tiefbau)+2*P_SFP+P_MontZul)*EK)</f>
        <v>861.866246310411</v>
      </c>
      <c r="I16" s="38" t="n">
        <f aca="false">IF(C16=A16,0,(P_Saeule+P_Flex+P_NT+P_Halter+P_Luefter+P_Spleiss+P_Ueber)*EK)</f>
        <v>851.326</v>
      </c>
      <c r="J16" s="23" t="n">
        <f aca="false">IF(Anlagen!U16&lt;&gt;"",Anlagen!U16,IF(C16=A16,500,1000)+ROW())</f>
        <v>1016</v>
      </c>
      <c r="K16" s="37" t="n">
        <f aca="false">SUMIFS(Anlagen!$F$5:$F$92,$C$5:$C$92,C16,$J$5:$J$92,"&lt;"&amp;J16)</f>
        <v>255</v>
      </c>
      <c r="L16" s="23" t="n">
        <f aca="false">INT(K16/PG)+1</f>
        <v>5</v>
      </c>
      <c r="M16" s="23" t="n">
        <f aca="false">MAX(L16,CEILING((K16+Anlagen!F16)/PG,1))</f>
        <v>5</v>
      </c>
      <c r="N16" s="23" t="str">
        <f aca="false">IFERROR(INDEX(Anlagen!$B$5:$B$92,MATCH(C16,Anlagen!$A$5:$A$92,0)),"?")&amp;": GW "&amp;L16&amp;IF(M16&gt;L16,"–"&amp;M16,"")</f>
        <v>Fohrder Landstraße: GW 5</v>
      </c>
      <c r="O16" s="31" t="n">
        <f aca="false">Buchungsquote!V16</f>
        <v>8.15362068965517</v>
      </c>
      <c r="P16" s="23" t="str">
        <f aca="false">IF(ISNA(MATCH(C16,Anlagen!$A$5:$A$92,0)),"Fehler: Standort unbekannt",IF(C16=A16,"OK",IF(INDEX($C$5:$C$92,MATCH(C16,Anlagen!$A$5:$A$92,0))&lt;&gt;C16,"Fehler: Standort hängt selbst an anderem Standort",IF(D16=A16,"Fehler: Zuleitung von sich selbst",IF(ISNA(MATCH(D16,Anlagen!$A$5:$A$92,0)),"Fehler: Zuleitung unbekannt",IF(INDEX($C$5:$C$92,MATCH(D16,Anlagen!$A$5:$A$92,0))&lt;&gt;C16,"Fehler: Zuleitung hängt an anderem Standort","OK"))))))</f>
        <v>OK</v>
      </c>
      <c r="Q16" s="23" t="str">
        <f aca="false">Anlagen!AA16</f>
        <v>SCHLA</v>
      </c>
      <c r="R16" s="23" t="n">
        <f aca="false">IF(Anlagen!AB16&lt;&gt;"",Anlagen!AB16,COUNTIFS($C$5:$C$92,C16,$J$5:$J$92,"&lt;"&amp;J16)+1)</f>
        <v>5</v>
      </c>
      <c r="S16" s="23" t="n">
        <f aca="false">1000+200*(R16-1)+1</f>
        <v>1801</v>
      </c>
      <c r="T16" s="23" t="n">
        <f aca="false">1000+200*(R16-1)+Anlagen!F16</f>
        <v>1819</v>
      </c>
      <c r="U16" s="23" t="n">
        <f aca="false">100+A16</f>
        <v>112</v>
      </c>
      <c r="V16" s="23" t="n">
        <f aca="false">200+A16</f>
        <v>212</v>
      </c>
      <c r="W16" s="23" t="n">
        <f aca="false">300+A16</f>
        <v>312</v>
      </c>
      <c r="X16" s="23" t="str">
        <f aca="false">"10."&amp;A16&amp;".1.0/24"</f>
        <v>10.12.1.0/24</v>
      </c>
      <c r="Y16" s="23" t="str">
        <f aca="false">IF(R16&gt;15,"Fehler: VLAN-Block über 15",IF(COUNTIFS($C$5:$C$92,C16,$R$5:$R$92,R16)&gt;1,"Fehler: VLAN-Block am Standort doppelt",IF(COUNTIF($Q$5:$Q$92,Q16)&gt;1,"Fehler: Kürzel doppelt",IF(Anlagen!F16&gt;199,"Fehler: mehr als 199 Parzellen","OK"))))</f>
        <v>OK</v>
      </c>
    </row>
    <row r="17" customFormat="false" ht="15" hidden="false" customHeight="false" outlineLevel="0" collapsed="false">
      <c r="A17" s="23" t="n">
        <f aca="false">Anlagen!A17</f>
        <v>13</v>
      </c>
      <c r="B17" s="23" t="str">
        <f aca="false">Anlagen!B17</f>
        <v>Am Waldesrand</v>
      </c>
      <c r="C17" s="23" t="n">
        <f aca="false">IF(Anlagen!S17&lt;&gt;"",Anlagen!S17,IF(Vorschlag_nutzen=1,Anlagen!Q17,A17))</f>
        <v>33</v>
      </c>
      <c r="D17" s="23" t="n">
        <f aca="false">IF(C17=A17,"",IF(Anlagen!T17&lt;&gt;"",Anlagen!T17,IF(AND(Anlagen!S17="",Vorschlag_nutzen=1,Anlagen!R17&lt;&gt;""),Anlagen!R17,C17)))</f>
        <v>33</v>
      </c>
      <c r="E17" s="23" t="str">
        <f aca="false">IF(C17=A17,IF(COUNTIF($C$5:$C$92,A17)&gt;1,"Gateway-Standort","eigenständig"),"über "&amp;IFERROR(INDEX(Anlagen!$B$5:$B$92,MATCH(D17,Anlagen!$A$5:$A$92,0)),"?"))</f>
        <v>über Fohrder Landstraße</v>
      </c>
      <c r="F17" s="36" t="n">
        <f aca="false">IF(C17=A17,0,IF(Anlagen!V17&lt;&gt;"",Anlagen!V17/1000,IFERROR(SQRT((Anlagen!N17-INDEX(Anlagen!$N$5:$N$92,MATCH(D17,Anlagen!$A$5:$A$92,0)))^2+(Anlagen!O17-INDEX(Anlagen!$O$5:$O$92,MATCH(D17,Anlagen!$A$5:$A$92,0)))^2),0)))</f>
        <v>0.618465843842649</v>
      </c>
      <c r="G17" s="37" t="n">
        <f aca="false">IF(C17=A17,0,IF(Anlagen!V17&lt;&gt;"",Anlagen!V17,F17*1000*Umweg))</f>
        <v>804.005596995444</v>
      </c>
      <c r="H17" s="38" t="n">
        <f aca="false">IF(C17=A17,0,(G17*(P_Faser+P_Tiefbau)+2*P_SFP+P_MontZul)*EK)</f>
        <v>1665.77199063687</v>
      </c>
      <c r="I17" s="38" t="n">
        <f aca="false">IF(C17=A17,0,(P_Saeule+P_Flex+P_NT+P_Halter+P_Luefter+P_Spleiss+P_Ueber)*EK)</f>
        <v>851.326</v>
      </c>
      <c r="J17" s="23" t="n">
        <f aca="false">IF(Anlagen!U17&lt;&gt;"",Anlagen!U17,IF(C17=A17,500,1000)+ROW())</f>
        <v>1017</v>
      </c>
      <c r="K17" s="37" t="n">
        <f aca="false">SUMIFS(Anlagen!$F$5:$F$92,$C$5:$C$92,C17,$J$5:$J$92,"&lt;"&amp;J17)</f>
        <v>274</v>
      </c>
      <c r="L17" s="23" t="n">
        <f aca="false">INT(K17/PG)+1</f>
        <v>5</v>
      </c>
      <c r="M17" s="23" t="n">
        <f aca="false">MAX(L17,CEILING((K17+Anlagen!F17)/PG,1))</f>
        <v>7</v>
      </c>
      <c r="N17" s="23" t="str">
        <f aca="false">IFERROR(INDEX(Anlagen!$B$5:$B$92,MATCH(C17,Anlagen!$A$5:$A$92,0)),"?")&amp;": GW "&amp;L17&amp;IF(M17&gt;L17,"–"&amp;M17,"")</f>
        <v>Fohrder Landstraße: GW 5–7</v>
      </c>
      <c r="O17" s="31" t="n">
        <f aca="false">Buchungsquote!V17</f>
        <v>52.7811631944444</v>
      </c>
      <c r="P17" s="23" t="str">
        <f aca="false">IF(ISNA(MATCH(C17,Anlagen!$A$5:$A$92,0)),"Fehler: Standort unbekannt",IF(C17=A17,"OK",IF(INDEX($C$5:$C$92,MATCH(C17,Anlagen!$A$5:$A$92,0))&lt;&gt;C17,"Fehler: Standort hängt selbst an anderem Standort",IF(D17=A17,"Fehler: Zuleitung von sich selbst",IF(ISNA(MATCH(D17,Anlagen!$A$5:$A$92,0)),"Fehler: Zuleitung unbekannt",IF(INDEX($C$5:$C$92,MATCH(D17,Anlagen!$A$5:$A$92,0))&lt;&gt;C17,"Fehler: Zuleitung hängt an anderem Standort","OK"))))))</f>
        <v>OK</v>
      </c>
      <c r="Q17" s="23" t="str">
        <f aca="false">Anlagen!AA17</f>
        <v>WALDR</v>
      </c>
      <c r="R17" s="23" t="n">
        <f aca="false">IF(Anlagen!AB17&lt;&gt;"",Anlagen!AB17,COUNTIFS($C$5:$C$92,C17,$J$5:$J$92,"&lt;"&amp;J17)+1)</f>
        <v>6</v>
      </c>
      <c r="S17" s="23" t="n">
        <f aca="false">1000+200*(R17-1)+1</f>
        <v>2001</v>
      </c>
      <c r="T17" s="23" t="n">
        <f aca="false">1000+200*(R17-1)+Anlagen!F17</f>
        <v>2096</v>
      </c>
      <c r="U17" s="23" t="n">
        <f aca="false">100+A17</f>
        <v>113</v>
      </c>
      <c r="V17" s="23" t="n">
        <f aca="false">200+A17</f>
        <v>213</v>
      </c>
      <c r="W17" s="23" t="n">
        <f aca="false">300+A17</f>
        <v>313</v>
      </c>
      <c r="X17" s="23" t="str">
        <f aca="false">"10."&amp;A17&amp;".1.0/24"</f>
        <v>10.13.1.0/24</v>
      </c>
      <c r="Y17" s="23" t="str">
        <f aca="false">IF(R17&gt;15,"Fehler: VLAN-Block über 15",IF(COUNTIFS($C$5:$C$92,C17,$R$5:$R$92,R17)&gt;1,"Fehler: VLAN-Block am Standort doppelt",IF(COUNTIF($Q$5:$Q$92,Q17)&gt;1,"Fehler: Kürzel doppelt",IF(Anlagen!F17&gt;199,"Fehler: mehr als 199 Parzellen","OK"))))</f>
        <v>OK</v>
      </c>
    </row>
    <row r="18" customFormat="false" ht="15" hidden="false" customHeight="false" outlineLevel="0" collapsed="false">
      <c r="A18" s="23" t="n">
        <f aca="false">Anlagen!A18</f>
        <v>14</v>
      </c>
      <c r="B18" s="23" t="str">
        <f aca="false">Anlagen!B18</f>
        <v>An der Plane I</v>
      </c>
      <c r="C18" s="23" t="n">
        <f aca="false">IF(Anlagen!S18&lt;&gt;"",Anlagen!S18,IF(Vorschlag_nutzen=1,Anlagen!Q18,A18))</f>
        <v>73</v>
      </c>
      <c r="D18" s="23" t="n">
        <f aca="false">IF(C18=A18,"",IF(Anlagen!T18&lt;&gt;"",Anlagen!T18,IF(AND(Anlagen!S18="",Vorschlag_nutzen=1,Anlagen!R18&lt;&gt;""),Anlagen!R18,C18)))</f>
        <v>68</v>
      </c>
      <c r="E18" s="23" t="str">
        <f aca="false">IF(C18=A18,IF(COUNTIF($C$5:$C$92,A18)&gt;1,"Gateway-Standort","eigenständig"),"über "&amp;IFERROR(INDEX(Anlagen!$B$5:$B$92,MATCH(D18,Anlagen!$A$5:$A$92,0)),"?"))</f>
        <v>über Plane II</v>
      </c>
      <c r="F18" s="36" t="n">
        <f aca="false">IF(C18=A18,0,IF(Anlagen!V18&lt;&gt;"",Anlagen!V18/1000,IFERROR(SQRT((Anlagen!N18-INDEX(Anlagen!$N$5:$N$92,MATCH(D18,Anlagen!$A$5:$A$92,0)))^2+(Anlagen!O18-INDEX(Anlagen!$O$5:$O$92,MATCH(D18,Anlagen!$A$5:$A$92,0)))^2),0)))</f>
        <v>0.510098029794274</v>
      </c>
      <c r="G18" s="37" t="n">
        <f aca="false">IF(C18=A18,0,IF(Anlagen!V18&lt;&gt;"",Anlagen!V18,F18*1000*Umweg))</f>
        <v>663.127438732556</v>
      </c>
      <c r="H18" s="38" t="n">
        <f aca="false">IF(C18=A18,0,(G18*(P_Faser+P_Tiefbau)+2*P_SFP+P_MontZul)*EK)</f>
        <v>1414.30447813761</v>
      </c>
      <c r="I18" s="38" t="n">
        <f aca="false">IF(C18=A18,0,(P_Saeule+P_Flex+P_NT+P_Halter+P_Luefter+P_Spleiss+P_Ueber)*EK)</f>
        <v>851.326</v>
      </c>
      <c r="J18" s="23" t="n">
        <f aca="false">IF(Anlagen!U18&lt;&gt;"",Anlagen!U18,IF(C18=A18,500,1000)+ROW())</f>
        <v>1018</v>
      </c>
      <c r="K18" s="37" t="n">
        <f aca="false">SUMIFS(Anlagen!$F$5:$F$92,$C$5:$C$92,C18,$J$5:$J$92,"&lt;"&amp;J18)</f>
        <v>130</v>
      </c>
      <c r="L18" s="23" t="n">
        <f aca="false">INT(K18/PG)+1</f>
        <v>3</v>
      </c>
      <c r="M18" s="23" t="n">
        <f aca="false">MAX(L18,CEILING((K18+Anlagen!F18)/PG,1))</f>
        <v>3</v>
      </c>
      <c r="N18" s="23" t="str">
        <f aca="false">IFERROR(INDEX(Anlagen!$B$5:$B$92,MATCH(C18,Anlagen!$A$5:$A$92,0)),"?")&amp;": GW "&amp;L18&amp;IF(M18&gt;L18,"–"&amp;M18,"")</f>
        <v>Sommerfreude II: GW 3</v>
      </c>
      <c r="O18" s="31" t="n">
        <f aca="false">Buchungsquote!V18</f>
        <v>7.76983957219251</v>
      </c>
      <c r="P18" s="23" t="str">
        <f aca="false">IF(ISNA(MATCH(C18,Anlagen!$A$5:$A$92,0)),"Fehler: Standort unbekannt",IF(C18=A18,"OK",IF(INDEX($C$5:$C$92,MATCH(C18,Anlagen!$A$5:$A$92,0))&lt;&gt;C18,"Fehler: Standort hängt selbst an anderem Standort",IF(D18=A18,"Fehler: Zuleitung von sich selbst",IF(ISNA(MATCH(D18,Anlagen!$A$5:$A$92,0)),"Fehler: Zuleitung unbekannt",IF(INDEX($C$5:$C$92,MATCH(D18,Anlagen!$A$5:$A$92,0))&lt;&gt;C18,"Fehler: Zuleitung hängt an anderem Standort","OK"))))))</f>
        <v>OK</v>
      </c>
      <c r="Q18" s="23" t="str">
        <f aca="false">Anlagen!AA18</f>
        <v>PLAN1</v>
      </c>
      <c r="R18" s="23" t="n">
        <f aca="false">IF(Anlagen!AB18&lt;&gt;"",Anlagen!AB18,COUNTIFS($C$5:$C$92,C18,$J$5:$J$92,"&lt;"&amp;J18)+1)</f>
        <v>2</v>
      </c>
      <c r="S18" s="23" t="n">
        <f aca="false">1000+200*(R18-1)+1</f>
        <v>1201</v>
      </c>
      <c r="T18" s="23" t="n">
        <f aca="false">1000+200*(R18-1)+Anlagen!F18</f>
        <v>1216</v>
      </c>
      <c r="U18" s="23" t="n">
        <f aca="false">100+A18</f>
        <v>114</v>
      </c>
      <c r="V18" s="23" t="n">
        <f aca="false">200+A18</f>
        <v>214</v>
      </c>
      <c r="W18" s="23" t="n">
        <f aca="false">300+A18</f>
        <v>314</v>
      </c>
      <c r="X18" s="23" t="str">
        <f aca="false">"10."&amp;A18&amp;".1.0/24"</f>
        <v>10.14.1.0/24</v>
      </c>
      <c r="Y18" s="23" t="str">
        <f aca="false">IF(R18&gt;15,"Fehler: VLAN-Block über 15",IF(COUNTIFS($C$5:$C$92,C18,$R$5:$R$92,R18)&gt;1,"Fehler: VLAN-Block am Standort doppelt",IF(COUNTIF($Q$5:$Q$92,Q18)&gt;1,"Fehler: Kürzel doppelt",IF(Anlagen!F18&gt;199,"Fehler: mehr als 199 Parzellen","OK"))))</f>
        <v>OK</v>
      </c>
    </row>
    <row r="19" customFormat="false" ht="15" hidden="false" customHeight="false" outlineLevel="0" collapsed="false">
      <c r="A19" s="23" t="n">
        <f aca="false">Anlagen!A19</f>
        <v>15</v>
      </c>
      <c r="B19" s="23" t="str">
        <f aca="false">Anlagen!B19</f>
        <v>Bergeshöh</v>
      </c>
      <c r="C19" s="23" t="n">
        <f aca="false">IF(Anlagen!S19&lt;&gt;"",Anlagen!S19,IF(Vorschlag_nutzen=1,Anlagen!Q19,A19))</f>
        <v>28</v>
      </c>
      <c r="D19" s="23" t="n">
        <f aca="false">IF(C19=A19,"",IF(Anlagen!T19&lt;&gt;"",Anlagen!T19,IF(AND(Anlagen!S19="",Vorschlag_nutzen=1,Anlagen!R19&lt;&gt;""),Anlagen!R19,C19)))</f>
        <v>83</v>
      </c>
      <c r="E19" s="23" t="str">
        <f aca="false">IF(C19=A19,IF(COUNTIF($C$5:$C$92,A19)&gt;1,"Gateway-Standort","eigenständig"),"über "&amp;IFERROR(INDEX(Anlagen!$B$5:$B$92,MATCH(D19,Anlagen!$A$5:$A$92,0)),"?"))</f>
        <v>über Weinmeisterweg</v>
      </c>
      <c r="F19" s="36" t="n">
        <f aca="false">IF(C19=A19,0,IF(Anlagen!V19&lt;&gt;"",Anlagen!V19/1000,IFERROR(SQRT((Anlagen!N19-INDEX(Anlagen!$N$5:$N$92,MATCH(D19,Anlagen!$A$5:$A$92,0)))^2+(Anlagen!O19-INDEX(Anlagen!$O$5:$O$92,MATCH(D19,Anlagen!$A$5:$A$92,0)))^2),0)))</f>
        <v>0.740945342113707</v>
      </c>
      <c r="G19" s="37" t="n">
        <f aca="false">IF(C19=A19,0,IF(Anlagen!V19&lt;&gt;"",Anlagen!V19,F19*1000*Umweg))</f>
        <v>963.228944747819</v>
      </c>
      <c r="H19" s="38" t="n">
        <f aca="false">IF(C19=A19,0,(G19*(P_Faser+P_Tiefbau)+2*P_SFP+P_MontZul)*EK)</f>
        <v>1949.98566637486</v>
      </c>
      <c r="I19" s="38" t="n">
        <f aca="false">IF(C19=A19,0,(P_Saeule+P_Flex+P_NT+P_Halter+P_Luefter+P_Spleiss+P_Ueber)*EK)</f>
        <v>851.326</v>
      </c>
      <c r="J19" s="23" t="n">
        <f aca="false">IF(Anlagen!U19&lt;&gt;"",Anlagen!U19,IF(C19=A19,500,1000)+ROW())</f>
        <v>1019</v>
      </c>
      <c r="K19" s="37" t="n">
        <f aca="false">SUMIFS(Anlagen!$F$5:$F$92,$C$5:$C$92,C19,$J$5:$J$92,"&lt;"&amp;J19)</f>
        <v>99</v>
      </c>
      <c r="L19" s="23" t="n">
        <f aca="false">INT(K19/PG)+1</f>
        <v>2</v>
      </c>
      <c r="M19" s="23" t="n">
        <f aca="false">MAX(L19,CEILING((K19+Anlagen!F19)/PG,1))</f>
        <v>3</v>
      </c>
      <c r="N19" s="23" t="str">
        <f aca="false">IFERROR(INDEX(Anlagen!$B$5:$B$92,MATCH(C19,Anlagen!$A$5:$A$92,0)),"?")&amp;": GW "&amp;L19&amp;IF(M19&gt;L19,"–"&amp;M19,"")</f>
        <v>Erdenglück: GW 2–3</v>
      </c>
      <c r="O19" s="31" t="n">
        <f aca="false">Buchungsquote!V19</f>
        <v>8.54188481675393</v>
      </c>
      <c r="P19" s="23" t="str">
        <f aca="false">IF(ISNA(MATCH(C19,Anlagen!$A$5:$A$92,0)),"Fehler: Standort unbekannt",IF(C19=A19,"OK",IF(INDEX($C$5:$C$92,MATCH(C19,Anlagen!$A$5:$A$92,0))&lt;&gt;C19,"Fehler: Standort hängt selbst an anderem Standort",IF(D19=A19,"Fehler: Zuleitung von sich selbst",IF(ISNA(MATCH(D19,Anlagen!$A$5:$A$92,0)),"Fehler: Zuleitung unbekannt",IF(INDEX($C$5:$C$92,MATCH(D19,Anlagen!$A$5:$A$92,0))&lt;&gt;C19,"Fehler: Zuleitung hängt an anderem Standort","OK"))))))</f>
        <v>OK</v>
      </c>
      <c r="Q19" s="23" t="str">
        <f aca="false">Anlagen!AA19</f>
        <v>BERGH</v>
      </c>
      <c r="R19" s="23" t="n">
        <f aca="false">IF(Anlagen!AB19&lt;&gt;"",Anlagen!AB19,COUNTIFS($C$5:$C$92,C19,$J$5:$J$92,"&lt;"&amp;J19)+1)</f>
        <v>2</v>
      </c>
      <c r="S19" s="23" t="n">
        <f aca="false">1000+200*(R19-1)+1</f>
        <v>1201</v>
      </c>
      <c r="T19" s="23" t="n">
        <f aca="false">1000+200*(R19-1)+Anlagen!F19</f>
        <v>1214</v>
      </c>
      <c r="U19" s="23" t="n">
        <f aca="false">100+A19</f>
        <v>115</v>
      </c>
      <c r="V19" s="23" t="n">
        <f aca="false">200+A19</f>
        <v>215</v>
      </c>
      <c r="W19" s="23" t="n">
        <f aca="false">300+A19</f>
        <v>315</v>
      </c>
      <c r="X19" s="23" t="str">
        <f aca="false">"10."&amp;A19&amp;".1.0/24"</f>
        <v>10.15.1.0/24</v>
      </c>
      <c r="Y19" s="23" t="str">
        <f aca="false">IF(R19&gt;15,"Fehler: VLAN-Block über 15",IF(COUNTIFS($C$5:$C$92,C19,$R$5:$R$92,R19)&gt;1,"Fehler: VLAN-Block am Standort doppelt",IF(COUNTIF($Q$5:$Q$92,Q19)&gt;1,"Fehler: Kürzel doppelt",IF(Anlagen!F19&gt;199,"Fehler: mehr als 199 Parzellen","OK"))))</f>
        <v>OK</v>
      </c>
    </row>
    <row r="20" customFormat="false" ht="15" hidden="false" customHeight="false" outlineLevel="0" collapsed="false">
      <c r="A20" s="23" t="n">
        <f aca="false">Anlagen!A20</f>
        <v>16</v>
      </c>
      <c r="B20" s="23" t="str">
        <f aca="false">Anlagen!B20</f>
        <v>Bergfrieden</v>
      </c>
      <c r="C20" s="23" t="n">
        <f aca="false">IF(Anlagen!S20&lt;&gt;"",Anlagen!S20,IF(Vorschlag_nutzen=1,Anlagen!Q20,A20))</f>
        <v>16</v>
      </c>
      <c r="D20" s="23" t="str">
        <f aca="false">IF(C20=A20,"",IF(Anlagen!T20&lt;&gt;"",Anlagen!T20,IF(AND(Anlagen!S20="",Vorschlag_nutzen=1,Anlagen!R20&lt;&gt;""),Anlagen!R20,C20)))</f>
        <v/>
      </c>
      <c r="E20" s="23" t="str">
        <f aca="false">IF(C20=A20,IF(COUNTIF($C$5:$C$92,A20)&gt;1,"Gateway-Standort","eigenständig"),"über "&amp;IFERROR(INDEX(Anlagen!$B$5:$B$92,MATCH(D20,Anlagen!$A$5:$A$92,0)),"?"))</f>
        <v>Gateway-Standort</v>
      </c>
      <c r="F20" s="36" t="n">
        <f aca="false">IF(C20=A20,0,IF(Anlagen!V20&lt;&gt;"",Anlagen!V20/1000,IFERROR(SQRT((Anlagen!N20-INDEX(Anlagen!$N$5:$N$92,MATCH(D20,Anlagen!$A$5:$A$92,0)))^2+(Anlagen!O20-INDEX(Anlagen!$O$5:$O$92,MATCH(D20,Anlagen!$A$5:$A$92,0)))^2),0)))</f>
        <v>0</v>
      </c>
      <c r="G20" s="37" t="n">
        <f aca="false">IF(C20=A20,0,IF(Anlagen!V20&lt;&gt;"",Anlagen!V20,F20*1000*Umweg))</f>
        <v>0</v>
      </c>
      <c r="H20" s="38" t="n">
        <f aca="false">IF(C20=A20,0,(G20*(P_Faser+P_Tiefbau)+2*P_SFP+P_MontZul)*EK)</f>
        <v>0</v>
      </c>
      <c r="I20" s="38" t="n">
        <f aca="false">IF(C20=A20,0,(P_Saeule+P_Flex+P_NT+P_Halter+P_Luefter+P_Spleiss+P_Ueber)*EK)</f>
        <v>0</v>
      </c>
      <c r="J20" s="23" t="n">
        <f aca="false">IF(Anlagen!U20&lt;&gt;"",Anlagen!U20,IF(C20=A20,500,1000)+ROW())</f>
        <v>520</v>
      </c>
      <c r="K20" s="37" t="n">
        <f aca="false">SUMIFS(Anlagen!$F$5:$F$92,$C$5:$C$92,C20,$J$5:$J$92,"&lt;"&amp;J20)</f>
        <v>0</v>
      </c>
      <c r="L20" s="23" t="n">
        <f aca="false">INT(K20/PG)+1</f>
        <v>1</v>
      </c>
      <c r="M20" s="23" t="n">
        <f aca="false">MAX(L20,CEILING((K20+Anlagen!F20)/PG,1))</f>
        <v>3</v>
      </c>
      <c r="N20" s="23" t="str">
        <f aca="false">IFERROR(INDEX(Anlagen!$B$5:$B$92,MATCH(C20,Anlagen!$A$5:$A$92,0)),"?")&amp;": GW "&amp;L20&amp;IF(M20&gt;L20,"–"&amp;M20,"")</f>
        <v>Bergfrieden: GW 1–3</v>
      </c>
      <c r="O20" s="31" t="n">
        <f aca="false">Buchungsquote!V20</f>
        <v>57.3262143379664</v>
      </c>
      <c r="P20" s="23" t="str">
        <f aca="false">IF(ISNA(MATCH(C20,Anlagen!$A$5:$A$92,0)),"Fehler: Standort unbekannt",IF(C20=A20,"OK",IF(INDEX($C$5:$C$92,MATCH(C20,Anlagen!$A$5:$A$92,0))&lt;&gt;C20,"Fehler: Standort hängt selbst an anderem Standort",IF(D20=A20,"Fehler: Zuleitung von sich selbst",IF(ISNA(MATCH(D20,Anlagen!$A$5:$A$92,0)),"Fehler: Zuleitung unbekannt",IF(INDEX($C$5:$C$92,MATCH(D20,Anlagen!$A$5:$A$92,0))&lt;&gt;C20,"Fehler: Zuleitung hängt an anderem Standort","OK"))))))</f>
        <v>OK</v>
      </c>
      <c r="Q20" s="23" t="str">
        <f aca="false">Anlagen!AA20</f>
        <v>BERGF</v>
      </c>
      <c r="R20" s="23" t="n">
        <f aca="false">IF(Anlagen!AB20&lt;&gt;"",Anlagen!AB20,COUNTIFS($C$5:$C$92,C20,$J$5:$J$92,"&lt;"&amp;J20)+1)</f>
        <v>1</v>
      </c>
      <c r="S20" s="23" t="n">
        <f aca="false">1000+200*(R20-1)+1</f>
        <v>1001</v>
      </c>
      <c r="T20" s="23" t="n">
        <f aca="false">1000+200*(R20-1)+Anlagen!F20</f>
        <v>1130</v>
      </c>
      <c r="U20" s="23" t="n">
        <f aca="false">100+A20</f>
        <v>116</v>
      </c>
      <c r="V20" s="23" t="n">
        <f aca="false">200+A20</f>
        <v>216</v>
      </c>
      <c r="W20" s="23" t="n">
        <f aca="false">300+A20</f>
        <v>316</v>
      </c>
      <c r="X20" s="23" t="str">
        <f aca="false">"10."&amp;A20&amp;".1.0/24"</f>
        <v>10.16.1.0/24</v>
      </c>
      <c r="Y20" s="23" t="str">
        <f aca="false">IF(R20&gt;15,"Fehler: VLAN-Block über 15",IF(COUNTIFS($C$5:$C$92,C20,$R$5:$R$92,R20)&gt;1,"Fehler: VLAN-Block am Standort doppelt",IF(COUNTIF($Q$5:$Q$92,Q20)&gt;1,"Fehler: Kürzel doppelt",IF(Anlagen!F20&gt;199,"Fehler: mehr als 199 Parzellen","OK"))))</f>
        <v>OK</v>
      </c>
    </row>
    <row r="21" customFormat="false" ht="15" hidden="false" customHeight="false" outlineLevel="0" collapsed="false">
      <c r="A21" s="23" t="n">
        <f aca="false">Anlagen!A21</f>
        <v>17</v>
      </c>
      <c r="B21" s="23" t="str">
        <f aca="false">Anlagen!B21</f>
        <v>Birkenwäldchen</v>
      </c>
      <c r="C21" s="23" t="n">
        <f aca="false">IF(Anlagen!S21&lt;&gt;"",Anlagen!S21,IF(Vorschlag_nutzen=1,Anlagen!Q21,A21))</f>
        <v>17</v>
      </c>
      <c r="D21" s="23" t="str">
        <f aca="false">IF(C21=A21,"",IF(Anlagen!T21&lt;&gt;"",Anlagen!T21,IF(AND(Anlagen!S21="",Vorschlag_nutzen=1,Anlagen!R21&lt;&gt;""),Anlagen!R21,C21)))</f>
        <v/>
      </c>
      <c r="E21" s="23" t="str">
        <f aca="false">IF(C21=A21,IF(COUNTIF($C$5:$C$92,A21)&gt;1,"Gateway-Standort","eigenständig"),"über "&amp;IFERROR(INDEX(Anlagen!$B$5:$B$92,MATCH(D21,Anlagen!$A$5:$A$92,0)),"?"))</f>
        <v>Gateway-Standort</v>
      </c>
      <c r="F21" s="36" t="n">
        <f aca="false">IF(C21=A21,0,IF(Anlagen!V21&lt;&gt;"",Anlagen!V21/1000,IFERROR(SQRT((Anlagen!N21-INDEX(Anlagen!$N$5:$N$92,MATCH(D21,Anlagen!$A$5:$A$92,0)))^2+(Anlagen!O21-INDEX(Anlagen!$O$5:$O$92,MATCH(D21,Anlagen!$A$5:$A$92,0)))^2),0)))</f>
        <v>0</v>
      </c>
      <c r="G21" s="37" t="n">
        <f aca="false">IF(C21=A21,0,IF(Anlagen!V21&lt;&gt;"",Anlagen!V21,F21*1000*Umweg))</f>
        <v>0</v>
      </c>
      <c r="H21" s="38" t="n">
        <f aca="false">IF(C21=A21,0,(G21*(P_Faser+P_Tiefbau)+2*P_SFP+P_MontZul)*EK)</f>
        <v>0</v>
      </c>
      <c r="I21" s="38" t="n">
        <f aca="false">IF(C21=A21,0,(P_Saeule+P_Flex+P_NT+P_Halter+P_Luefter+P_Spleiss+P_Ueber)*EK)</f>
        <v>0</v>
      </c>
      <c r="J21" s="23" t="n">
        <f aca="false">IF(Anlagen!U21&lt;&gt;"",Anlagen!U21,IF(C21=A21,500,1000)+ROW())</f>
        <v>521</v>
      </c>
      <c r="K21" s="37" t="n">
        <f aca="false">SUMIFS(Anlagen!$F$5:$F$92,$C$5:$C$92,C21,$J$5:$J$92,"&lt;"&amp;J21)</f>
        <v>0</v>
      </c>
      <c r="L21" s="23" t="n">
        <f aca="false">INT(K21/PG)+1</f>
        <v>1</v>
      </c>
      <c r="M21" s="23" t="n">
        <f aca="false">MAX(L21,CEILING((K21+Anlagen!F21)/PG,1))</f>
        <v>2</v>
      </c>
      <c r="N21" s="23" t="str">
        <f aca="false">IFERROR(INDEX(Anlagen!$B$5:$B$92,MATCH(C21,Anlagen!$A$5:$A$92,0)),"?")&amp;": GW "&amp;L21&amp;IF(M21&gt;L21,"–"&amp;M21,"")</f>
        <v>Birkenwäldchen: GW 1–2</v>
      </c>
      <c r="O21" s="31" t="n">
        <f aca="false">Buchungsquote!V21</f>
        <v>33.0090847913863</v>
      </c>
      <c r="P21" s="23" t="str">
        <f aca="false">IF(ISNA(MATCH(C21,Anlagen!$A$5:$A$92,0)),"Fehler: Standort unbekannt",IF(C21=A21,"OK",IF(INDEX($C$5:$C$92,MATCH(C21,Anlagen!$A$5:$A$92,0))&lt;&gt;C21,"Fehler: Standort hängt selbst an anderem Standort",IF(D21=A21,"Fehler: Zuleitung von sich selbst",IF(ISNA(MATCH(D21,Anlagen!$A$5:$A$92,0)),"Fehler: Zuleitung unbekannt",IF(INDEX($C$5:$C$92,MATCH(D21,Anlagen!$A$5:$A$92,0))&lt;&gt;C21,"Fehler: Zuleitung hängt an anderem Standort","OK"))))))</f>
        <v>OK</v>
      </c>
      <c r="Q21" s="23" t="str">
        <f aca="false">Anlagen!AA21</f>
        <v>BIRKE</v>
      </c>
      <c r="R21" s="23" t="n">
        <f aca="false">IF(Anlagen!AB21&lt;&gt;"",Anlagen!AB21,COUNTIFS($C$5:$C$92,C21,$J$5:$J$92,"&lt;"&amp;J21)+1)</f>
        <v>1</v>
      </c>
      <c r="S21" s="23" t="n">
        <f aca="false">1000+200*(R21-1)+1</f>
        <v>1001</v>
      </c>
      <c r="T21" s="23" t="n">
        <f aca="false">1000+200*(R21-1)+Anlagen!F21</f>
        <v>1056</v>
      </c>
      <c r="U21" s="23" t="n">
        <f aca="false">100+A21</f>
        <v>117</v>
      </c>
      <c r="V21" s="23" t="n">
        <f aca="false">200+A21</f>
        <v>217</v>
      </c>
      <c r="W21" s="23" t="n">
        <f aca="false">300+A21</f>
        <v>317</v>
      </c>
      <c r="X21" s="23" t="str">
        <f aca="false">"10."&amp;A21&amp;".1.0/24"</f>
        <v>10.17.1.0/24</v>
      </c>
      <c r="Y21" s="23" t="str">
        <f aca="false">IF(R21&gt;15,"Fehler: VLAN-Block über 15",IF(COUNTIFS($C$5:$C$92,C21,$R$5:$R$92,R21)&gt;1,"Fehler: VLAN-Block am Standort doppelt",IF(COUNTIF($Q$5:$Q$92,Q21)&gt;1,"Fehler: Kürzel doppelt",IF(Anlagen!F21&gt;199,"Fehler: mehr als 199 Parzellen","OK"))))</f>
        <v>OK</v>
      </c>
    </row>
    <row r="22" customFormat="false" ht="15" hidden="false" customHeight="false" outlineLevel="0" collapsed="false">
      <c r="A22" s="23" t="n">
        <f aca="false">Anlagen!A22</f>
        <v>18</v>
      </c>
      <c r="B22" s="23" t="str">
        <f aca="false">Anlagen!B22</f>
        <v>BKV Pfefferland</v>
      </c>
      <c r="C22" s="23" t="n">
        <f aca="false">IF(Anlagen!S22&lt;&gt;"",Anlagen!S22,IF(Vorschlag_nutzen=1,Anlagen!Q22,A22))</f>
        <v>73</v>
      </c>
      <c r="D22" s="23" t="n">
        <f aca="false">IF(C22=A22,"",IF(Anlagen!T22&lt;&gt;"",Anlagen!T22,IF(AND(Anlagen!S22="",Vorschlag_nutzen=1,Anlagen!R22&lt;&gt;""),Anlagen!R22,C22)))</f>
        <v>73</v>
      </c>
      <c r="E22" s="23" t="str">
        <f aca="false">IF(C22=A22,IF(COUNTIF($C$5:$C$92,A22)&gt;1,"Gateway-Standort","eigenständig"),"über "&amp;IFERROR(INDEX(Anlagen!$B$5:$B$92,MATCH(D22,Anlagen!$A$5:$A$92,0)),"?"))</f>
        <v>über Sommerfreude II</v>
      </c>
      <c r="F22" s="36" t="n">
        <f aca="false">IF(C22=A22,0,IF(Anlagen!V22&lt;&gt;"",Anlagen!V22/1000,IFERROR(SQRT((Anlagen!N22-INDEX(Anlagen!$N$5:$N$92,MATCH(D22,Anlagen!$A$5:$A$92,0)))^2+(Anlagen!O22-INDEX(Anlagen!$O$5:$O$92,MATCH(D22,Anlagen!$A$5:$A$92,0)))^2),0)))</f>
        <v>0.226274169979695</v>
      </c>
      <c r="G22" s="37" t="n">
        <f aca="false">IF(C22=A22,0,IF(Anlagen!V22&lt;&gt;"",Anlagen!V22,F22*1000*Umweg))</f>
        <v>294.156420973604</v>
      </c>
      <c r="H22" s="38" t="n">
        <f aca="false">IF(C22=A22,0,(G22*(P_Faser+P_Tiefbau)+2*P_SFP+P_MontZul)*EK)</f>
        <v>755.691211437883</v>
      </c>
      <c r="I22" s="38" t="n">
        <f aca="false">IF(C22=A22,0,(P_Saeule+P_Flex+P_NT+P_Halter+P_Luefter+P_Spleiss+P_Ueber)*EK)</f>
        <v>851.326</v>
      </c>
      <c r="J22" s="23" t="n">
        <f aca="false">IF(Anlagen!U22&lt;&gt;"",Anlagen!U22,IF(C22=A22,500,1000)+ROW())</f>
        <v>1022</v>
      </c>
      <c r="K22" s="37" t="n">
        <f aca="false">SUMIFS(Anlagen!$F$5:$F$92,$C$5:$C$92,C22,$J$5:$J$92,"&lt;"&amp;J22)</f>
        <v>146</v>
      </c>
      <c r="L22" s="23" t="n">
        <f aca="false">INT(K22/PG)+1</f>
        <v>3</v>
      </c>
      <c r="M22" s="23" t="n">
        <f aca="false">MAX(L22,CEILING((K22+Anlagen!F22)/PG,1))</f>
        <v>4</v>
      </c>
      <c r="N22" s="23" t="str">
        <f aca="false">IFERROR(INDEX(Anlagen!$B$5:$B$92,MATCH(C22,Anlagen!$A$5:$A$92,0)),"?")&amp;": GW "&amp;L22&amp;IF(M22&gt;L22,"–"&amp;M22,"")</f>
        <v>Sommerfreude II: GW 3–4</v>
      </c>
      <c r="O22" s="31" t="n">
        <f aca="false">Buchungsquote!V22</f>
        <v>38.9181299885975</v>
      </c>
      <c r="P22" s="23" t="str">
        <f aca="false">IF(ISNA(MATCH(C22,Anlagen!$A$5:$A$92,0)),"Fehler: Standort unbekannt",IF(C22=A22,"OK",IF(INDEX($C$5:$C$92,MATCH(C22,Anlagen!$A$5:$A$92,0))&lt;&gt;C22,"Fehler: Standort hängt selbst an anderem Standort",IF(D22=A22,"Fehler: Zuleitung von sich selbst",IF(ISNA(MATCH(D22,Anlagen!$A$5:$A$92,0)),"Fehler: Zuleitung unbekannt",IF(INDEX($C$5:$C$92,MATCH(D22,Anlagen!$A$5:$A$92,0))&lt;&gt;C22,"Fehler: Zuleitung hängt an anderem Standort","OK"))))))</f>
        <v>OK</v>
      </c>
      <c r="Q22" s="23" t="str">
        <f aca="false">Anlagen!AA22</f>
        <v>PFEFF</v>
      </c>
      <c r="R22" s="23" t="n">
        <f aca="false">IF(Anlagen!AB22&lt;&gt;"",Anlagen!AB22,COUNTIFS($C$5:$C$92,C22,$J$5:$J$92,"&lt;"&amp;J22)+1)</f>
        <v>3</v>
      </c>
      <c r="S22" s="23" t="n">
        <f aca="false">1000+200*(R22-1)+1</f>
        <v>1401</v>
      </c>
      <c r="T22" s="23" t="n">
        <f aca="false">1000+200*(R22-1)+Anlagen!F22</f>
        <v>1464</v>
      </c>
      <c r="U22" s="23" t="n">
        <f aca="false">100+A22</f>
        <v>118</v>
      </c>
      <c r="V22" s="23" t="n">
        <f aca="false">200+A22</f>
        <v>218</v>
      </c>
      <c r="W22" s="23" t="n">
        <f aca="false">300+A22</f>
        <v>318</v>
      </c>
      <c r="X22" s="23" t="str">
        <f aca="false">"10."&amp;A22&amp;".1.0/24"</f>
        <v>10.18.1.0/24</v>
      </c>
      <c r="Y22" s="23" t="str">
        <f aca="false">IF(R22&gt;15,"Fehler: VLAN-Block über 15",IF(COUNTIFS($C$5:$C$92,C22,$R$5:$R$92,R22)&gt;1,"Fehler: VLAN-Block am Standort doppelt",IF(COUNTIF($Q$5:$Q$92,Q22)&gt;1,"Fehler: Kürzel doppelt",IF(Anlagen!F22&gt;199,"Fehler: mehr als 199 Parzellen","OK"))))</f>
        <v>OK</v>
      </c>
    </row>
    <row r="23" customFormat="false" ht="15" hidden="false" customHeight="false" outlineLevel="0" collapsed="false">
      <c r="A23" s="23" t="n">
        <f aca="false">Anlagen!A23</f>
        <v>19</v>
      </c>
      <c r="B23" s="23" t="str">
        <f aca="false">Anlagen!B23</f>
        <v>Brielower Dreieck</v>
      </c>
      <c r="C23" s="23" t="n">
        <f aca="false">IF(Anlagen!S23&lt;&gt;"",Anlagen!S23,IF(Vorschlag_nutzen=1,Anlagen!Q23,A23))</f>
        <v>81</v>
      </c>
      <c r="D23" s="23" t="n">
        <f aca="false">IF(C23=A23,"",IF(Anlagen!T23&lt;&gt;"",Anlagen!T23,IF(AND(Anlagen!S23="",Vorschlag_nutzen=1,Anlagen!R23&lt;&gt;""),Anlagen!R23,C23)))</f>
        <v>81</v>
      </c>
      <c r="E23" s="23" t="str">
        <f aca="false">IF(C23=A23,IF(COUNTIF($C$5:$C$92,A23)&gt;1,"Gateway-Standort","eigenständig"),"über "&amp;IFERROR(INDEX(Anlagen!$B$5:$B$92,MATCH(D23,Anlagen!$A$5:$A$92,0)),"?"))</f>
        <v>über Traumland</v>
      </c>
      <c r="F23" s="36" t="n">
        <f aca="false">IF(C23=A23,0,IF(Anlagen!V23&lt;&gt;"",Anlagen!V23/1000,IFERROR(SQRT((Anlagen!N23-INDEX(Anlagen!$N$5:$N$92,MATCH(D23,Anlagen!$A$5:$A$92,0)))^2+(Anlagen!O23-INDEX(Anlagen!$O$5:$O$92,MATCH(D23,Anlagen!$A$5:$A$92,0)))^2),0)))</f>
        <v>1.02142057938931</v>
      </c>
      <c r="G23" s="37" t="n">
        <f aca="false">IF(C23=A23,0,IF(Anlagen!V23&lt;&gt;"",Anlagen!V23,F23*1000*Umweg))</f>
        <v>1327.84675320611</v>
      </c>
      <c r="H23" s="38" t="n">
        <f aca="false">IF(C23=A23,0,(G23*(P_Faser+P_Tiefbau)+2*P_SFP+P_MontZul)*EK)</f>
        <v>2600.8284544729</v>
      </c>
      <c r="I23" s="38" t="n">
        <f aca="false">IF(C23=A23,0,(P_Saeule+P_Flex+P_NT+P_Halter+P_Luefter+P_Spleiss+P_Ueber)*EK)</f>
        <v>851.326</v>
      </c>
      <c r="J23" s="23" t="n">
        <f aca="false">IF(Anlagen!U23&lt;&gt;"",Anlagen!U23,IF(C23=A23,500,1000)+ROW())</f>
        <v>1023</v>
      </c>
      <c r="K23" s="37" t="n">
        <f aca="false">SUMIFS(Anlagen!$F$5:$F$92,$C$5:$C$92,C23,$J$5:$J$92,"&lt;"&amp;J23)</f>
        <v>49</v>
      </c>
      <c r="L23" s="23" t="n">
        <f aca="false">INT(K23/PG)+1</f>
        <v>1</v>
      </c>
      <c r="M23" s="23" t="n">
        <f aca="false">MAX(L23,CEILING((K23+Anlagen!F23)/PG,1))</f>
        <v>2</v>
      </c>
      <c r="N23" s="23" t="str">
        <f aca="false">IFERROR(INDEX(Anlagen!$B$5:$B$92,MATCH(C23,Anlagen!$A$5:$A$92,0)),"?")&amp;": GW "&amp;L23&amp;IF(M23&gt;L23,"–"&amp;M23,"")</f>
        <v>Traumland: GW 1–2</v>
      </c>
      <c r="O23" s="31" t="n">
        <f aca="false">Buchungsquote!V23</f>
        <v>20.3447674418605</v>
      </c>
      <c r="P23" s="23" t="str">
        <f aca="false">IF(ISNA(MATCH(C23,Anlagen!$A$5:$A$92,0)),"Fehler: Standort unbekannt",IF(C23=A23,"OK",IF(INDEX($C$5:$C$92,MATCH(C23,Anlagen!$A$5:$A$92,0))&lt;&gt;C23,"Fehler: Standort hängt selbst an anderem Standort",IF(D23=A23,"Fehler: Zuleitung von sich selbst",IF(ISNA(MATCH(D23,Anlagen!$A$5:$A$92,0)),"Fehler: Zuleitung unbekannt",IF(INDEX($C$5:$C$92,MATCH(D23,Anlagen!$A$5:$A$92,0))&lt;&gt;C23,"Fehler: Zuleitung hängt an anderem Standort","OK"))))))</f>
        <v>OK</v>
      </c>
      <c r="Q23" s="23" t="str">
        <f aca="false">Anlagen!AA23</f>
        <v>BRIDR</v>
      </c>
      <c r="R23" s="23" t="n">
        <f aca="false">IF(Anlagen!AB23&lt;&gt;"",Anlagen!AB23,COUNTIFS($C$5:$C$92,C23,$J$5:$J$92,"&lt;"&amp;J23)+1)</f>
        <v>2</v>
      </c>
      <c r="S23" s="23" t="n">
        <f aca="false">1000+200*(R23-1)+1</f>
        <v>1201</v>
      </c>
      <c r="T23" s="23" t="n">
        <f aca="false">1000+200*(R23-1)+Anlagen!F23</f>
        <v>1235</v>
      </c>
      <c r="U23" s="23" t="n">
        <f aca="false">100+A23</f>
        <v>119</v>
      </c>
      <c r="V23" s="23" t="n">
        <f aca="false">200+A23</f>
        <v>219</v>
      </c>
      <c r="W23" s="23" t="n">
        <f aca="false">300+A23</f>
        <v>319</v>
      </c>
      <c r="X23" s="23" t="str">
        <f aca="false">"10."&amp;A23&amp;".1.0/24"</f>
        <v>10.19.1.0/24</v>
      </c>
      <c r="Y23" s="23" t="str">
        <f aca="false">IF(R23&gt;15,"Fehler: VLAN-Block über 15",IF(COUNTIFS($C$5:$C$92,C23,$R$5:$R$92,R23)&gt;1,"Fehler: VLAN-Block am Standort doppelt",IF(COUNTIF($Q$5:$Q$92,Q23)&gt;1,"Fehler: Kürzel doppelt",IF(Anlagen!F23&gt;199,"Fehler: mehr als 199 Parzellen","OK"))))</f>
        <v>OK</v>
      </c>
    </row>
    <row r="24" customFormat="false" ht="15" hidden="false" customHeight="false" outlineLevel="0" collapsed="false">
      <c r="A24" s="23" t="n">
        <f aca="false">Anlagen!A24</f>
        <v>20</v>
      </c>
      <c r="B24" s="23" t="str">
        <f aca="false">Anlagen!B24</f>
        <v>Buchenweg</v>
      </c>
      <c r="C24" s="23" t="n">
        <f aca="false">IF(Anlagen!S24&lt;&gt;"",Anlagen!S24,IF(Vorschlag_nutzen=1,Anlagen!Q24,A24))</f>
        <v>41</v>
      </c>
      <c r="D24" s="23" t="n">
        <f aca="false">IF(C24=A24,"",IF(Anlagen!T24&lt;&gt;"",Anlagen!T24,IF(AND(Anlagen!S24="",Vorschlag_nutzen=1,Anlagen!R24&lt;&gt;""),Anlagen!R24,C24)))</f>
        <v>41</v>
      </c>
      <c r="E24" s="23" t="str">
        <f aca="false">IF(C24=A24,IF(COUNTIF($C$5:$C$92,A24)&gt;1,"Gateway-Standort","eigenständig"),"über "&amp;IFERROR(INDEX(Anlagen!$B$5:$B$92,MATCH(D24,Anlagen!$A$5:$A$92,0)),"?"))</f>
        <v>über Glück im Winkel</v>
      </c>
      <c r="F24" s="36" t="n">
        <f aca="false">IF(C24=A24,0,IF(Anlagen!V24&lt;&gt;"",Anlagen!V24/1000,IFERROR(SQRT((Anlagen!N24-INDEX(Anlagen!$N$5:$N$92,MATCH(D24,Anlagen!$A$5:$A$92,0)))^2+(Anlagen!O24-INDEX(Anlagen!$O$5:$O$92,MATCH(D24,Anlagen!$A$5:$A$92,0)))^2),0)))</f>
        <v>0.575673518584969</v>
      </c>
      <c r="G24" s="37" t="n">
        <f aca="false">IF(C24=A24,0,IF(Anlagen!V24&lt;&gt;"",Anlagen!V24,F24*1000*Umweg))</f>
        <v>748.37557416046</v>
      </c>
      <c r="H24" s="38" t="n">
        <f aca="false">IF(C24=A24,0,(G24*(P_Faser+P_Tiefbau)+2*P_SFP+P_MontZul)*EK)</f>
        <v>1566.47239987642</v>
      </c>
      <c r="I24" s="38" t="n">
        <f aca="false">IF(C24=A24,0,(P_Saeule+P_Flex+P_NT+P_Halter+P_Luefter+P_Spleiss+P_Ueber)*EK)</f>
        <v>851.326</v>
      </c>
      <c r="J24" s="23" t="n">
        <f aca="false">IF(Anlagen!U24&lt;&gt;"",Anlagen!U24,IF(C24=A24,500,1000)+ROW())</f>
        <v>1024</v>
      </c>
      <c r="K24" s="37" t="n">
        <f aca="false">SUMIFS(Anlagen!$F$5:$F$92,$C$5:$C$92,C24,$J$5:$J$92,"&lt;"&amp;J24)</f>
        <v>214</v>
      </c>
      <c r="L24" s="23" t="n">
        <f aca="false">INT(K24/PG)+1</f>
        <v>4</v>
      </c>
      <c r="M24" s="23" t="n">
        <f aca="false">MAX(L24,CEILING((K24+Anlagen!F24)/PG,1))</f>
        <v>6</v>
      </c>
      <c r="N24" s="23" t="str">
        <f aca="false">IFERROR(INDEX(Anlagen!$B$5:$B$92,MATCH(C24,Anlagen!$A$5:$A$92,0)),"?")&amp;": GW "&amp;L24&amp;IF(M24&gt;L24,"–"&amp;M24,"")</f>
        <v>Glück im Winkel: GW 4–6</v>
      </c>
      <c r="O24" s="31" t="n">
        <f aca="false">Buchungsquote!V24</f>
        <v>53.0092336103416</v>
      </c>
      <c r="P24" s="23" t="str">
        <f aca="false">IF(ISNA(MATCH(C24,Anlagen!$A$5:$A$92,0)),"Fehler: Standort unbekannt",IF(C24=A24,"OK",IF(INDEX($C$5:$C$92,MATCH(C24,Anlagen!$A$5:$A$92,0))&lt;&gt;C24,"Fehler: Standort hängt selbst an anderem Standort",IF(D24=A24,"Fehler: Zuleitung von sich selbst",IF(ISNA(MATCH(D24,Anlagen!$A$5:$A$92,0)),"Fehler: Zuleitung unbekannt",IF(INDEX($C$5:$C$92,MATCH(D24,Anlagen!$A$5:$A$92,0))&lt;&gt;C24,"Fehler: Zuleitung hängt an anderem Standort","OK"))))))</f>
        <v>OK</v>
      </c>
      <c r="Q24" s="23" t="str">
        <f aca="false">Anlagen!AA24</f>
        <v>BW</v>
      </c>
      <c r="R24" s="23" t="n">
        <f aca="false">IF(Anlagen!AB24&lt;&gt;"",Anlagen!AB24,COUNTIFS($C$5:$C$92,C24,$J$5:$J$92,"&lt;"&amp;J24)+1)</f>
        <v>3</v>
      </c>
      <c r="S24" s="23" t="n">
        <f aca="false">1000+200*(R24-1)+1</f>
        <v>1401</v>
      </c>
      <c r="T24" s="23" t="n">
        <f aca="false">1000+200*(R24-1)+Anlagen!F24</f>
        <v>1486</v>
      </c>
      <c r="U24" s="23" t="n">
        <f aca="false">100+A24</f>
        <v>120</v>
      </c>
      <c r="V24" s="23" t="n">
        <f aca="false">200+A24</f>
        <v>220</v>
      </c>
      <c r="W24" s="23" t="n">
        <f aca="false">300+A24</f>
        <v>320</v>
      </c>
      <c r="X24" s="23" t="str">
        <f aca="false">"10."&amp;A24&amp;".1.0/24"</f>
        <v>10.20.1.0/24</v>
      </c>
      <c r="Y24" s="23" t="str">
        <f aca="false">IF(R24&gt;15,"Fehler: VLAN-Block über 15",IF(COUNTIFS($C$5:$C$92,C24,$R$5:$R$92,R24)&gt;1,"Fehler: VLAN-Block am Standort doppelt",IF(COUNTIF($Q$5:$Q$92,Q24)&gt;1,"Fehler: Kürzel doppelt",IF(Anlagen!F24&gt;199,"Fehler: mehr als 199 Parzellen","OK"))))</f>
        <v>OK</v>
      </c>
    </row>
    <row r="25" customFormat="false" ht="15" hidden="false" customHeight="false" outlineLevel="0" collapsed="false">
      <c r="A25" s="23" t="n">
        <f aca="false">Anlagen!A25</f>
        <v>21</v>
      </c>
      <c r="B25" s="23" t="str">
        <f aca="false">Anlagen!B25</f>
        <v>Butterlake</v>
      </c>
      <c r="C25" s="23" t="n">
        <f aca="false">IF(Anlagen!S25&lt;&gt;"",Anlagen!S25,IF(Vorschlag_nutzen=1,Anlagen!Q25,A25))</f>
        <v>33</v>
      </c>
      <c r="D25" s="23" t="n">
        <f aca="false">IF(C25=A25,"",IF(Anlagen!T25&lt;&gt;"",Anlagen!T25,IF(AND(Anlagen!S25="",Vorschlag_nutzen=1,Anlagen!R25&lt;&gt;""),Anlagen!R25,C25)))</f>
        <v>33</v>
      </c>
      <c r="E25" s="23" t="str">
        <f aca="false">IF(C25=A25,IF(COUNTIF($C$5:$C$92,A25)&gt;1,"Gateway-Standort","eigenständig"),"über "&amp;IFERROR(INDEX(Anlagen!$B$5:$B$92,MATCH(D25,Anlagen!$A$5:$A$92,0)),"?"))</f>
        <v>über Fohrder Landstraße</v>
      </c>
      <c r="F25" s="36" t="n">
        <f aca="false">IF(C25=A25,0,IF(Anlagen!V25&lt;&gt;"",Anlagen!V25/1000,IFERROR(SQRT((Anlagen!N25-INDEX(Anlagen!$N$5:$N$92,MATCH(D25,Anlagen!$A$5:$A$92,0)))^2+(Anlagen!O25-INDEX(Anlagen!$O$5:$O$92,MATCH(D25,Anlagen!$A$5:$A$92,0)))^2),0)))</f>
        <v>0.308706980808662</v>
      </c>
      <c r="G25" s="37" t="n">
        <f aca="false">IF(C25=A25,0,IF(Anlagen!V25&lt;&gt;"",Anlagen!V25,F25*1000*Umweg))</f>
        <v>401.31907505126</v>
      </c>
      <c r="H25" s="38" t="n">
        <f aca="false">IF(C25=A25,0,(G25*(P_Faser+P_Tiefbau)+2*P_SFP+P_MontZul)*EK)</f>
        <v>946.976548966499</v>
      </c>
      <c r="I25" s="38" t="n">
        <f aca="false">IF(C25=A25,0,(P_Saeule+P_Flex+P_NT+P_Halter+P_Luefter+P_Spleiss+P_Ueber)*EK)</f>
        <v>851.326</v>
      </c>
      <c r="J25" s="23" t="n">
        <f aca="false">IF(Anlagen!U25&lt;&gt;"",Anlagen!U25,IF(C25=A25,500,1000)+ROW())</f>
        <v>1025</v>
      </c>
      <c r="K25" s="37" t="n">
        <f aca="false">SUMIFS(Anlagen!$F$5:$F$92,$C$5:$C$92,C25,$J$5:$J$92,"&lt;"&amp;J25)</f>
        <v>370</v>
      </c>
      <c r="L25" s="23" t="n">
        <f aca="false">INT(K25/PG)+1</f>
        <v>7</v>
      </c>
      <c r="M25" s="23" t="n">
        <f aca="false">MAX(L25,CEILING((K25+Anlagen!F25)/PG,1))</f>
        <v>9</v>
      </c>
      <c r="N25" s="23" t="str">
        <f aca="false">IFERROR(INDEX(Anlagen!$B$5:$B$92,MATCH(C25,Anlagen!$A$5:$A$92,0)),"?")&amp;": GW "&amp;L25&amp;IF(M25&gt;L25,"–"&amp;M25,"")</f>
        <v>Fohrder Landstraße: GW 7–9</v>
      </c>
      <c r="O25" s="31" t="n">
        <f aca="false">Buchungsquote!V25</f>
        <v>42.6953571428572</v>
      </c>
      <c r="P25" s="23" t="str">
        <f aca="false">IF(ISNA(MATCH(C25,Anlagen!$A$5:$A$92,0)),"Fehler: Standort unbekannt",IF(C25=A25,"OK",IF(INDEX($C$5:$C$92,MATCH(C25,Anlagen!$A$5:$A$92,0))&lt;&gt;C25,"Fehler: Standort hängt selbst an anderem Standort",IF(D25=A25,"Fehler: Zuleitung von sich selbst",IF(ISNA(MATCH(D25,Anlagen!$A$5:$A$92,0)),"Fehler: Zuleitung unbekannt",IF(INDEX($C$5:$C$92,MATCH(D25,Anlagen!$A$5:$A$92,0))&lt;&gt;C25,"Fehler: Zuleitung hängt an anderem Standort","OK"))))))</f>
        <v>OK</v>
      </c>
      <c r="Q25" s="23" t="str">
        <f aca="false">Anlagen!AA25</f>
        <v>BUTTL</v>
      </c>
      <c r="R25" s="23" t="n">
        <f aca="false">IF(Anlagen!AB25&lt;&gt;"",Anlagen!AB25,COUNTIFS($C$5:$C$92,C25,$J$5:$J$92,"&lt;"&amp;J25)+1)</f>
        <v>7</v>
      </c>
      <c r="S25" s="23" t="n">
        <f aca="false">1000+200*(R25-1)+1</f>
        <v>2201</v>
      </c>
      <c r="T25" s="23" t="n">
        <f aca="false">1000+200*(R25-1)+Anlagen!F25</f>
        <v>2275</v>
      </c>
      <c r="U25" s="23" t="n">
        <f aca="false">100+A25</f>
        <v>121</v>
      </c>
      <c r="V25" s="23" t="n">
        <f aca="false">200+A25</f>
        <v>221</v>
      </c>
      <c r="W25" s="23" t="n">
        <f aca="false">300+A25</f>
        <v>321</v>
      </c>
      <c r="X25" s="23" t="str">
        <f aca="false">"10."&amp;A25&amp;".1.0/24"</f>
        <v>10.21.1.0/24</v>
      </c>
      <c r="Y25" s="23" t="str">
        <f aca="false">IF(R25&gt;15,"Fehler: VLAN-Block über 15",IF(COUNTIFS($C$5:$C$92,C25,$R$5:$R$92,R25)&gt;1,"Fehler: VLAN-Block am Standort doppelt",IF(COUNTIF($Q$5:$Q$92,Q25)&gt;1,"Fehler: Kürzel doppelt",IF(Anlagen!F25&gt;199,"Fehler: mehr als 199 Parzellen","OK"))))</f>
        <v>OK</v>
      </c>
    </row>
    <row r="26" customFormat="false" ht="15" hidden="false" customHeight="false" outlineLevel="0" collapsed="false">
      <c r="A26" s="23" t="n">
        <f aca="false">Anlagen!A26</f>
        <v>22</v>
      </c>
      <c r="B26" s="23" t="str">
        <f aca="false">Anlagen!B26</f>
        <v>Eichhorstweg</v>
      </c>
      <c r="C26" s="23" t="n">
        <f aca="false">IF(Anlagen!S26&lt;&gt;"",Anlagen!S26,IF(Vorschlag_nutzen=1,Anlagen!Q26,A26))</f>
        <v>22</v>
      </c>
      <c r="D26" s="23" t="str">
        <f aca="false">IF(C26=A26,"",IF(Anlagen!T26&lt;&gt;"",Anlagen!T26,IF(AND(Anlagen!S26="",Vorschlag_nutzen=1,Anlagen!R26&lt;&gt;""),Anlagen!R26,C26)))</f>
        <v/>
      </c>
      <c r="E26" s="23" t="str">
        <f aca="false">IF(C26=A26,IF(COUNTIF($C$5:$C$92,A26)&gt;1,"Gateway-Standort","eigenständig"),"über "&amp;IFERROR(INDEX(Anlagen!$B$5:$B$92,MATCH(D26,Anlagen!$A$5:$A$92,0)),"?"))</f>
        <v>Gateway-Standort</v>
      </c>
      <c r="F26" s="36" t="n">
        <f aca="false">IF(C26=A26,0,IF(Anlagen!V26&lt;&gt;"",Anlagen!V26/1000,IFERROR(SQRT((Anlagen!N26-INDEX(Anlagen!$N$5:$N$92,MATCH(D26,Anlagen!$A$5:$A$92,0)))^2+(Anlagen!O26-INDEX(Anlagen!$O$5:$O$92,MATCH(D26,Anlagen!$A$5:$A$92,0)))^2),0)))</f>
        <v>0</v>
      </c>
      <c r="G26" s="37" t="n">
        <f aca="false">IF(C26=A26,0,IF(Anlagen!V26&lt;&gt;"",Anlagen!V26,F26*1000*Umweg))</f>
        <v>0</v>
      </c>
      <c r="H26" s="38" t="n">
        <f aca="false">IF(C26=A26,0,(G26*(P_Faser+P_Tiefbau)+2*P_SFP+P_MontZul)*EK)</f>
        <v>0</v>
      </c>
      <c r="I26" s="38" t="n">
        <f aca="false">IF(C26=A26,0,(P_Saeule+P_Flex+P_NT+P_Halter+P_Luefter+P_Spleiss+P_Ueber)*EK)</f>
        <v>0</v>
      </c>
      <c r="J26" s="23" t="n">
        <f aca="false">IF(Anlagen!U26&lt;&gt;"",Anlagen!U26,IF(C26=A26,500,1000)+ROW())</f>
        <v>526</v>
      </c>
      <c r="K26" s="37" t="n">
        <f aca="false">SUMIFS(Anlagen!$F$5:$F$92,$C$5:$C$92,C26,$J$5:$J$92,"&lt;"&amp;J26)</f>
        <v>0</v>
      </c>
      <c r="L26" s="23" t="n">
        <f aca="false">INT(K26/PG)+1</f>
        <v>1</v>
      </c>
      <c r="M26" s="23" t="n">
        <f aca="false">MAX(L26,CEILING((K26+Anlagen!F26)/PG,1))</f>
        <v>1</v>
      </c>
      <c r="N26" s="23" t="str">
        <f aca="false">IFERROR(INDEX(Anlagen!$B$5:$B$92,MATCH(C26,Anlagen!$A$5:$A$92,0)),"?")&amp;": GW "&amp;L26&amp;IF(M26&gt;L26,"–"&amp;M26,"")</f>
        <v>Eichhorstweg: GW 1</v>
      </c>
      <c r="O26" s="31" t="n">
        <f aca="false">Buchungsquote!V26</f>
        <v>21.7622427983539</v>
      </c>
      <c r="P26" s="23" t="str">
        <f aca="false">IF(ISNA(MATCH(C26,Anlagen!$A$5:$A$92,0)),"Fehler: Standort unbekannt",IF(C26=A26,"OK",IF(INDEX($C$5:$C$92,MATCH(C26,Anlagen!$A$5:$A$92,0))&lt;&gt;C26,"Fehler: Standort hängt selbst an anderem Standort",IF(D26=A26,"Fehler: Zuleitung von sich selbst",IF(ISNA(MATCH(D26,Anlagen!$A$5:$A$92,0)),"Fehler: Zuleitung unbekannt",IF(INDEX($C$5:$C$92,MATCH(D26,Anlagen!$A$5:$A$92,0))&lt;&gt;C26,"Fehler: Zuleitung hängt an anderem Standort","OK"))))))</f>
        <v>OK</v>
      </c>
      <c r="Q26" s="23" t="str">
        <f aca="false">Anlagen!AA26</f>
        <v>EICHH</v>
      </c>
      <c r="R26" s="23" t="n">
        <f aca="false">IF(Anlagen!AB26&lt;&gt;"",Anlagen!AB26,COUNTIFS($C$5:$C$92,C26,$J$5:$J$92,"&lt;"&amp;J26)+1)</f>
        <v>1</v>
      </c>
      <c r="S26" s="23" t="n">
        <f aca="false">1000+200*(R26-1)+1</f>
        <v>1001</v>
      </c>
      <c r="T26" s="23" t="n">
        <f aca="false">1000+200*(R26-1)+Anlagen!F26</f>
        <v>1038</v>
      </c>
      <c r="U26" s="23" t="n">
        <f aca="false">100+A26</f>
        <v>122</v>
      </c>
      <c r="V26" s="23" t="n">
        <f aca="false">200+A26</f>
        <v>222</v>
      </c>
      <c r="W26" s="23" t="n">
        <f aca="false">300+A26</f>
        <v>322</v>
      </c>
      <c r="X26" s="23" t="str">
        <f aca="false">"10."&amp;A26&amp;".1.0/24"</f>
        <v>10.22.1.0/24</v>
      </c>
      <c r="Y26" s="23" t="str">
        <f aca="false">IF(R26&gt;15,"Fehler: VLAN-Block über 15",IF(COUNTIFS($C$5:$C$92,C26,$R$5:$R$92,R26)&gt;1,"Fehler: VLAN-Block am Standort doppelt",IF(COUNTIF($Q$5:$Q$92,Q26)&gt;1,"Fehler: Kürzel doppelt",IF(Anlagen!F26&gt;199,"Fehler: mehr als 199 Parzellen","OK"))))</f>
        <v>OK</v>
      </c>
    </row>
    <row r="27" customFormat="false" ht="15" hidden="false" customHeight="false" outlineLevel="0" collapsed="false">
      <c r="A27" s="23" t="n">
        <f aca="false">Anlagen!A27</f>
        <v>23</v>
      </c>
      <c r="B27" s="23" t="str">
        <f aca="false">Anlagen!B27</f>
        <v>Eigener Fleiß</v>
      </c>
      <c r="C27" s="23" t="n">
        <f aca="false">IF(Anlagen!S27&lt;&gt;"",Anlagen!S27,IF(Vorschlag_nutzen=1,Anlagen!Q27,A27))</f>
        <v>23</v>
      </c>
      <c r="D27" s="23" t="str">
        <f aca="false">IF(C27=A27,"",IF(Anlagen!T27&lt;&gt;"",Anlagen!T27,IF(AND(Anlagen!S27="",Vorschlag_nutzen=1,Anlagen!R27&lt;&gt;""),Anlagen!R27,C27)))</f>
        <v/>
      </c>
      <c r="E27" s="23" t="str">
        <f aca="false">IF(C27=A27,IF(COUNTIF($C$5:$C$92,A27)&gt;1,"Gateway-Standort","eigenständig"),"über "&amp;IFERROR(INDEX(Anlagen!$B$5:$B$92,MATCH(D27,Anlagen!$A$5:$A$92,0)),"?"))</f>
        <v>Gateway-Standort</v>
      </c>
      <c r="F27" s="36" t="n">
        <f aca="false">IF(C27=A27,0,IF(Anlagen!V27&lt;&gt;"",Anlagen!V27/1000,IFERROR(SQRT((Anlagen!N27-INDEX(Anlagen!$N$5:$N$92,MATCH(D27,Anlagen!$A$5:$A$92,0)))^2+(Anlagen!O27-INDEX(Anlagen!$O$5:$O$92,MATCH(D27,Anlagen!$A$5:$A$92,0)))^2),0)))</f>
        <v>0</v>
      </c>
      <c r="G27" s="37" t="n">
        <f aca="false">IF(C27=A27,0,IF(Anlagen!V27&lt;&gt;"",Anlagen!V27,F27*1000*Umweg))</f>
        <v>0</v>
      </c>
      <c r="H27" s="38" t="n">
        <f aca="false">IF(C27=A27,0,(G27*(P_Faser+P_Tiefbau)+2*P_SFP+P_MontZul)*EK)</f>
        <v>0</v>
      </c>
      <c r="I27" s="38" t="n">
        <f aca="false">IF(C27=A27,0,(P_Saeule+P_Flex+P_NT+P_Halter+P_Luefter+P_Spleiss+P_Ueber)*EK)</f>
        <v>0</v>
      </c>
      <c r="J27" s="23" t="n">
        <f aca="false">IF(Anlagen!U27&lt;&gt;"",Anlagen!U27,IF(C27=A27,500,1000)+ROW())</f>
        <v>527</v>
      </c>
      <c r="K27" s="37" t="n">
        <f aca="false">SUMIFS(Anlagen!$F$5:$F$92,$C$5:$C$92,C27,$J$5:$J$92,"&lt;"&amp;J27)</f>
        <v>0</v>
      </c>
      <c r="L27" s="23" t="n">
        <f aca="false">INT(K27/PG)+1</f>
        <v>1</v>
      </c>
      <c r="M27" s="23" t="n">
        <f aca="false">MAX(L27,CEILING((K27+Anlagen!F27)/PG,1))</f>
        <v>3</v>
      </c>
      <c r="N27" s="23" t="str">
        <f aca="false">IFERROR(INDEX(Anlagen!$B$5:$B$92,MATCH(C27,Anlagen!$A$5:$A$92,0)),"?")&amp;": GW "&amp;L27&amp;IF(M27&gt;L27,"–"&amp;M27,"")</f>
        <v>Eigener Fleiß: GW 1–3</v>
      </c>
      <c r="O27" s="31" t="n">
        <f aca="false">Buchungsquote!V27</f>
        <v>70.7654605263158</v>
      </c>
      <c r="P27" s="23" t="str">
        <f aca="false">IF(ISNA(MATCH(C27,Anlagen!$A$5:$A$92,0)),"Fehler: Standort unbekannt",IF(C27=A27,"OK",IF(INDEX($C$5:$C$92,MATCH(C27,Anlagen!$A$5:$A$92,0))&lt;&gt;C27,"Fehler: Standort hängt selbst an anderem Standort",IF(D27=A27,"Fehler: Zuleitung von sich selbst",IF(ISNA(MATCH(D27,Anlagen!$A$5:$A$92,0)),"Fehler: Zuleitung unbekannt",IF(INDEX($C$5:$C$92,MATCH(D27,Anlagen!$A$5:$A$92,0))&lt;&gt;C27,"Fehler: Zuleitung hängt an anderem Standort","OK"))))))</f>
        <v>OK</v>
      </c>
      <c r="Q27" s="23" t="str">
        <f aca="false">Anlagen!AA27</f>
        <v>FLEIS</v>
      </c>
      <c r="R27" s="23" t="n">
        <f aca="false">IF(Anlagen!AB27&lt;&gt;"",Anlagen!AB27,COUNTIFS($C$5:$C$92,C27,$J$5:$J$92,"&lt;"&amp;J27)+1)</f>
        <v>1</v>
      </c>
      <c r="S27" s="23" t="n">
        <f aca="false">1000+200*(R27-1)+1</f>
        <v>1001</v>
      </c>
      <c r="T27" s="23" t="n">
        <f aca="false">1000+200*(R27-1)+Anlagen!F27</f>
        <v>1123</v>
      </c>
      <c r="U27" s="23" t="n">
        <f aca="false">100+A27</f>
        <v>123</v>
      </c>
      <c r="V27" s="23" t="n">
        <f aca="false">200+A27</f>
        <v>223</v>
      </c>
      <c r="W27" s="23" t="n">
        <f aca="false">300+A27</f>
        <v>323</v>
      </c>
      <c r="X27" s="23" t="str">
        <f aca="false">"10."&amp;A27&amp;".1.0/24"</f>
        <v>10.23.1.0/24</v>
      </c>
      <c r="Y27" s="23" t="str">
        <f aca="false">IF(R27&gt;15,"Fehler: VLAN-Block über 15",IF(COUNTIFS($C$5:$C$92,C27,$R$5:$R$92,R27)&gt;1,"Fehler: VLAN-Block am Standort doppelt",IF(COUNTIF($Q$5:$Q$92,Q27)&gt;1,"Fehler: Kürzel doppelt",IF(Anlagen!F27&gt;199,"Fehler: mehr als 199 Parzellen","OK"))))</f>
        <v>OK</v>
      </c>
    </row>
    <row r="28" customFormat="false" ht="15" hidden="false" customHeight="false" outlineLevel="0" collapsed="false">
      <c r="A28" s="23" t="n">
        <f aca="false">Anlagen!A28</f>
        <v>24</v>
      </c>
      <c r="B28" s="23" t="str">
        <f aca="false">Anlagen!B28</f>
        <v>Einheit</v>
      </c>
      <c r="C28" s="23" t="n">
        <f aca="false">IF(Anlagen!S28&lt;&gt;"",Anlagen!S28,IF(Vorschlag_nutzen=1,Anlagen!Q28,A28))</f>
        <v>23</v>
      </c>
      <c r="D28" s="23" t="n">
        <f aca="false">IF(C28=A28,"",IF(Anlagen!T28&lt;&gt;"",Anlagen!T28,IF(AND(Anlagen!S28="",Vorschlag_nutzen=1,Anlagen!R28&lt;&gt;""),Anlagen!R28,C28)))</f>
        <v>23</v>
      </c>
      <c r="E28" s="23" t="str">
        <f aca="false">IF(C28=A28,IF(COUNTIF($C$5:$C$92,A28)&gt;1,"Gateway-Standort","eigenständig"),"über "&amp;IFERROR(INDEX(Anlagen!$B$5:$B$92,MATCH(D28,Anlagen!$A$5:$A$92,0)),"?"))</f>
        <v>über Eigener Fleiß</v>
      </c>
      <c r="F28" s="36" t="n">
        <f aca="false">IF(C28=A28,0,IF(Anlagen!V28&lt;&gt;"",Anlagen!V28/1000,IFERROR(SQRT((Anlagen!N28-INDEX(Anlagen!$N$5:$N$92,MATCH(D28,Anlagen!$A$5:$A$92,0)))^2+(Anlagen!O28-INDEX(Anlagen!$O$5:$O$92,MATCH(D28,Anlagen!$A$5:$A$92,0)))^2),0)))</f>
        <v>0.514781507049351</v>
      </c>
      <c r="G28" s="37" t="n">
        <f aca="false">IF(C28=A28,0,IF(Anlagen!V28&lt;&gt;"",Anlagen!V28,F28*1000*Umweg))</f>
        <v>669.215959164156</v>
      </c>
      <c r="H28" s="38" t="n">
        <f aca="false">IF(C28=A28,0,(G28*(P_Faser+P_Tiefbau)+2*P_SFP+P_MontZul)*EK)</f>
        <v>1425.17248710802</v>
      </c>
      <c r="I28" s="38" t="n">
        <f aca="false">IF(C28=A28,0,(P_Saeule+P_Flex+P_NT+P_Halter+P_Luefter+P_Spleiss+P_Ueber)*EK)</f>
        <v>851.326</v>
      </c>
      <c r="J28" s="23" t="n">
        <f aca="false">IF(Anlagen!U28&lt;&gt;"",Anlagen!U28,IF(C28=A28,500,1000)+ROW())</f>
        <v>1028</v>
      </c>
      <c r="K28" s="37" t="n">
        <f aca="false">SUMIFS(Anlagen!$F$5:$F$92,$C$5:$C$92,C28,$J$5:$J$92,"&lt;"&amp;J28)</f>
        <v>190</v>
      </c>
      <c r="L28" s="23" t="n">
        <f aca="false">INT(K28/PG)+1</f>
        <v>4</v>
      </c>
      <c r="M28" s="23" t="n">
        <f aca="false">MAX(L28,CEILING((K28+Anlagen!F28)/PG,1))</f>
        <v>6</v>
      </c>
      <c r="N28" s="23" t="str">
        <f aca="false">IFERROR(INDEX(Anlagen!$B$5:$B$92,MATCH(C28,Anlagen!$A$5:$A$92,0)),"?")&amp;": GW "&amp;L28&amp;IF(M28&gt;L28,"–"&amp;M28,"")</f>
        <v>Eigener Fleiß: GW 4–6</v>
      </c>
      <c r="O28" s="31" t="n">
        <f aca="false">Buchungsquote!V28</f>
        <v>60.8710504549214</v>
      </c>
      <c r="P28" s="23" t="str">
        <f aca="false">IF(ISNA(MATCH(C28,Anlagen!$A$5:$A$92,0)),"Fehler: Standort unbekannt",IF(C28=A28,"OK",IF(INDEX($C$5:$C$92,MATCH(C28,Anlagen!$A$5:$A$92,0))&lt;&gt;C28,"Fehler: Standort hängt selbst an anderem Standort",IF(D28=A28,"Fehler: Zuleitung von sich selbst",IF(ISNA(MATCH(D28,Anlagen!$A$5:$A$92,0)),"Fehler: Zuleitung unbekannt",IF(INDEX($C$5:$C$92,MATCH(D28,Anlagen!$A$5:$A$92,0))&lt;&gt;C28,"Fehler: Zuleitung hängt an anderem Standort","OK"))))))</f>
        <v>OK</v>
      </c>
      <c r="Q28" s="23" t="str">
        <f aca="false">Anlagen!AA28</f>
        <v>EINH</v>
      </c>
      <c r="R28" s="23" t="n">
        <f aca="false">IF(Anlagen!AB28&lt;&gt;"",Anlagen!AB28,COUNTIFS($C$5:$C$92,C28,$J$5:$J$92,"&lt;"&amp;J28)+1)</f>
        <v>3</v>
      </c>
      <c r="S28" s="23" t="n">
        <f aca="false">1000+200*(R28-1)+1</f>
        <v>1401</v>
      </c>
      <c r="T28" s="23" t="n">
        <f aca="false">1000+200*(R28-1)+Anlagen!F28</f>
        <v>1499</v>
      </c>
      <c r="U28" s="23" t="n">
        <f aca="false">100+A28</f>
        <v>124</v>
      </c>
      <c r="V28" s="23" t="n">
        <f aca="false">200+A28</f>
        <v>224</v>
      </c>
      <c r="W28" s="23" t="n">
        <f aca="false">300+A28</f>
        <v>324</v>
      </c>
      <c r="X28" s="23" t="str">
        <f aca="false">"10."&amp;A28&amp;".1.0/24"</f>
        <v>10.24.1.0/24</v>
      </c>
      <c r="Y28" s="23" t="str">
        <f aca="false">IF(R28&gt;15,"Fehler: VLAN-Block über 15",IF(COUNTIFS($C$5:$C$92,C28,$R$5:$R$92,R28)&gt;1,"Fehler: VLAN-Block am Standort doppelt",IF(COUNTIF($Q$5:$Q$92,Q28)&gt;1,"Fehler: Kürzel doppelt",IF(Anlagen!F28&gt;199,"Fehler: mehr als 199 Parzellen","OK"))))</f>
        <v>OK</v>
      </c>
    </row>
    <row r="29" customFormat="false" ht="15" hidden="false" customHeight="false" outlineLevel="0" collapsed="false">
      <c r="A29" s="23" t="n">
        <f aca="false">Anlagen!A29</f>
        <v>25</v>
      </c>
      <c r="B29" s="23" t="str">
        <f aca="false">Anlagen!B29</f>
        <v>Einigkeit</v>
      </c>
      <c r="C29" s="23" t="n">
        <f aca="false">IF(Anlagen!S29&lt;&gt;"",Anlagen!S29,IF(Vorschlag_nutzen=1,Anlagen!Q29,A29))</f>
        <v>56</v>
      </c>
      <c r="D29" s="23" t="n">
        <f aca="false">IF(C29=A29,"",IF(Anlagen!T29&lt;&gt;"",Anlagen!T29,IF(AND(Anlagen!S29="",Vorschlag_nutzen=1,Anlagen!R29&lt;&gt;""),Anlagen!R29,C29)))</f>
        <v>56</v>
      </c>
      <c r="E29" s="23" t="str">
        <f aca="false">IF(C29=A29,IF(COUNTIF($C$5:$C$92,A29)&gt;1,"Gateway-Standort","eigenständig"),"über "&amp;IFERROR(INDEX(Anlagen!$B$5:$B$92,MATCH(D29,Anlagen!$A$5:$A$92,0)),"?"))</f>
        <v>über Kammgarn</v>
      </c>
      <c r="F29" s="36" t="n">
        <f aca="false">IF(C29=A29,0,IF(Anlagen!V29&lt;&gt;"",Anlagen!V29/1000,IFERROR(SQRT((Anlagen!N29-INDEX(Anlagen!$N$5:$N$92,MATCH(D29,Anlagen!$A$5:$A$92,0)))^2+(Anlagen!O29-INDEX(Anlagen!$O$5:$O$92,MATCH(D29,Anlagen!$A$5:$A$92,0)))^2),0)))</f>
        <v>0.186815416922694</v>
      </c>
      <c r="G29" s="37" t="n">
        <f aca="false">IF(C29=A29,0,IF(Anlagen!V29&lt;&gt;"",Anlagen!V29,F29*1000*Umweg))</f>
        <v>242.860041999502</v>
      </c>
      <c r="H29" s="38" t="n">
        <f aca="false">IF(C29=A29,0,(G29*(P_Faser+P_Tiefbau)+2*P_SFP+P_MontZul)*EK)</f>
        <v>664.127174969111</v>
      </c>
      <c r="I29" s="38" t="n">
        <f aca="false">IF(C29=A29,0,(P_Saeule+P_Flex+P_NT+P_Halter+P_Luefter+P_Spleiss+P_Ueber)*EK)</f>
        <v>851.326</v>
      </c>
      <c r="J29" s="23" t="n">
        <f aca="false">IF(Anlagen!U29&lt;&gt;"",Anlagen!U29,IF(C29=A29,500,1000)+ROW())</f>
        <v>1029</v>
      </c>
      <c r="K29" s="37" t="n">
        <f aca="false">SUMIFS(Anlagen!$F$5:$F$92,$C$5:$C$92,C29,$J$5:$J$92,"&lt;"&amp;J29)</f>
        <v>28</v>
      </c>
      <c r="L29" s="23" t="n">
        <f aca="false">INT(K29/PG)+1</f>
        <v>1</v>
      </c>
      <c r="M29" s="23" t="n">
        <f aca="false">MAX(L29,CEILING((K29+Anlagen!F29)/PG,1))</f>
        <v>1</v>
      </c>
      <c r="N29" s="23" t="str">
        <f aca="false">IFERROR(INDEX(Anlagen!$B$5:$B$92,MATCH(C29,Anlagen!$A$5:$A$92,0)),"?")&amp;": GW "&amp;L29&amp;IF(M29&gt;L29,"–"&amp;M29,"")</f>
        <v>Kammgarn: GW 1</v>
      </c>
      <c r="O29" s="31" t="n">
        <f aca="false">Buchungsquote!V29</f>
        <v>8.68613138686132</v>
      </c>
      <c r="P29" s="23" t="str">
        <f aca="false">IF(ISNA(MATCH(C29,Anlagen!$A$5:$A$92,0)),"Fehler: Standort unbekannt",IF(C29=A29,"OK",IF(INDEX($C$5:$C$92,MATCH(C29,Anlagen!$A$5:$A$92,0))&lt;&gt;C29,"Fehler: Standort hängt selbst an anderem Standort",IF(D29=A29,"Fehler: Zuleitung von sich selbst",IF(ISNA(MATCH(D29,Anlagen!$A$5:$A$92,0)),"Fehler: Zuleitung unbekannt",IF(INDEX($C$5:$C$92,MATCH(D29,Anlagen!$A$5:$A$92,0))&lt;&gt;C29,"Fehler: Zuleitung hängt an anderem Standort","OK"))))))</f>
        <v>OK</v>
      </c>
      <c r="Q29" s="23" t="str">
        <f aca="false">Anlagen!AA29</f>
        <v>EINIG</v>
      </c>
      <c r="R29" s="23" t="n">
        <f aca="false">IF(Anlagen!AB29&lt;&gt;"",Anlagen!AB29,COUNTIFS($C$5:$C$92,C29,$J$5:$J$92,"&lt;"&amp;J29)+1)</f>
        <v>2</v>
      </c>
      <c r="S29" s="23" t="n">
        <f aca="false">1000+200*(R29-1)+1</f>
        <v>1201</v>
      </c>
      <c r="T29" s="23" t="n">
        <f aca="false">1000+200*(R29-1)+Anlagen!F29</f>
        <v>1214</v>
      </c>
      <c r="U29" s="23" t="n">
        <f aca="false">100+A29</f>
        <v>125</v>
      </c>
      <c r="V29" s="23" t="n">
        <f aca="false">200+A29</f>
        <v>225</v>
      </c>
      <c r="W29" s="23" t="n">
        <f aca="false">300+A29</f>
        <v>325</v>
      </c>
      <c r="X29" s="23" t="str">
        <f aca="false">"10."&amp;A29&amp;".1.0/24"</f>
        <v>10.25.1.0/24</v>
      </c>
      <c r="Y29" s="23" t="str">
        <f aca="false">IF(R29&gt;15,"Fehler: VLAN-Block über 15",IF(COUNTIFS($C$5:$C$92,C29,$R$5:$R$92,R29)&gt;1,"Fehler: VLAN-Block am Standort doppelt",IF(COUNTIF($Q$5:$Q$92,Q29)&gt;1,"Fehler: Kürzel doppelt",IF(Anlagen!F29&gt;199,"Fehler: mehr als 199 Parzellen","OK"))))</f>
        <v>OK</v>
      </c>
    </row>
    <row r="30" customFormat="false" ht="15" hidden="false" customHeight="false" outlineLevel="0" collapsed="false">
      <c r="A30" s="23" t="n">
        <f aca="false">Anlagen!A30</f>
        <v>26</v>
      </c>
      <c r="B30" s="23" t="str">
        <f aca="false">Anlagen!B30</f>
        <v>Eintracht I</v>
      </c>
      <c r="C30" s="23" t="n">
        <f aca="false">IF(Anlagen!S30&lt;&gt;"",Anlagen!S30,IF(Vorschlag_nutzen=1,Anlagen!Q30,A30))</f>
        <v>23</v>
      </c>
      <c r="D30" s="23" t="n">
        <f aca="false">IF(C30=A30,"",IF(Anlagen!T30&lt;&gt;"",Anlagen!T30,IF(AND(Anlagen!S30="",Vorschlag_nutzen=1,Anlagen!R30&lt;&gt;""),Anlagen!R30,C30)))</f>
        <v>55</v>
      </c>
      <c r="E30" s="23" t="str">
        <f aca="false">IF(C30=A30,IF(COUNTIF($C$5:$C$92,A30)&gt;1,"Gateway-Standort","eigenständig"),"über "&amp;IFERROR(INDEX(Anlagen!$B$5:$B$92,MATCH(D30,Anlagen!$A$5:$A$92,0)),"?"))</f>
        <v>über Jakobswerder</v>
      </c>
      <c r="F30" s="36" t="n">
        <f aca="false">IF(C30=A30,0,IF(Anlagen!V30&lt;&gt;"",Anlagen!V30/1000,IFERROR(SQRT((Anlagen!N30-INDEX(Anlagen!$N$5:$N$92,MATCH(D30,Anlagen!$A$5:$A$92,0)))^2+(Anlagen!O30-INDEX(Anlagen!$O$5:$O$92,MATCH(D30,Anlagen!$A$5:$A$92,0)))^2),0)))</f>
        <v>0.607289058027559</v>
      </c>
      <c r="G30" s="37" t="n">
        <f aca="false">IF(C30=A30,0,IF(Anlagen!V30&lt;&gt;"",Anlagen!V30,F30*1000*Umweg))</f>
        <v>789.475775435827</v>
      </c>
      <c r="H30" s="38" t="n">
        <f aca="false">IF(C30=A30,0,(G30*(P_Faser+P_Tiefbau)+2*P_SFP+P_MontZul)*EK)</f>
        <v>1639.83625915295</v>
      </c>
      <c r="I30" s="38" t="n">
        <f aca="false">IF(C30=A30,0,(P_Saeule+P_Flex+P_NT+P_Halter+P_Luefter+P_Spleiss+P_Ueber)*EK)</f>
        <v>851.326</v>
      </c>
      <c r="J30" s="23" t="n">
        <f aca="false">IF(Anlagen!U30&lt;&gt;"",Anlagen!U30,IF(C30=A30,500,1000)+ROW())</f>
        <v>1030</v>
      </c>
      <c r="K30" s="37" t="n">
        <f aca="false">SUMIFS(Anlagen!$F$5:$F$92,$C$5:$C$92,C30,$J$5:$J$92,"&lt;"&amp;J30)</f>
        <v>289</v>
      </c>
      <c r="L30" s="23" t="n">
        <f aca="false">INT(K30/PG)+1</f>
        <v>6</v>
      </c>
      <c r="M30" s="23" t="n">
        <f aca="false">MAX(L30,CEILING((K30+Anlagen!F30)/PG,1))</f>
        <v>6</v>
      </c>
      <c r="N30" s="23" t="str">
        <f aca="false">IFERROR(INDEX(Anlagen!$B$5:$B$92,MATCH(C30,Anlagen!$A$5:$A$92,0)),"?")&amp;": GW "&amp;L30&amp;IF(M30&gt;L30,"–"&amp;M30,"")</f>
        <v>Eigener Fleiß: GW 6</v>
      </c>
      <c r="O30" s="31" t="n">
        <f aca="false">Buchungsquote!V30</f>
        <v>18.7772875816993</v>
      </c>
      <c r="P30" s="23" t="str">
        <f aca="false">IF(ISNA(MATCH(C30,Anlagen!$A$5:$A$92,0)),"Fehler: Standort unbekannt",IF(C30=A30,"OK",IF(INDEX($C$5:$C$92,MATCH(C30,Anlagen!$A$5:$A$92,0))&lt;&gt;C30,"Fehler: Standort hängt selbst an anderem Standort",IF(D30=A30,"Fehler: Zuleitung von sich selbst",IF(ISNA(MATCH(D30,Anlagen!$A$5:$A$92,0)),"Fehler: Zuleitung unbekannt",IF(INDEX($C$5:$C$92,MATCH(D30,Anlagen!$A$5:$A$92,0))&lt;&gt;C30,"Fehler: Zuleitung hängt an anderem Standort","OK"))))))</f>
        <v>OK</v>
      </c>
      <c r="Q30" s="23" t="str">
        <f aca="false">Anlagen!AA30</f>
        <v>EINT1</v>
      </c>
      <c r="R30" s="23" t="n">
        <f aca="false">IF(Anlagen!AB30&lt;&gt;"",Anlagen!AB30,COUNTIFS($C$5:$C$92,C30,$J$5:$J$92,"&lt;"&amp;J30)+1)</f>
        <v>4</v>
      </c>
      <c r="S30" s="23" t="n">
        <f aca="false">1000+200*(R30-1)+1</f>
        <v>1601</v>
      </c>
      <c r="T30" s="23" t="n">
        <f aca="false">1000+200*(R30-1)+Anlagen!F30</f>
        <v>1632</v>
      </c>
      <c r="U30" s="23" t="n">
        <f aca="false">100+A30</f>
        <v>126</v>
      </c>
      <c r="V30" s="23" t="n">
        <f aca="false">200+A30</f>
        <v>226</v>
      </c>
      <c r="W30" s="23" t="n">
        <f aca="false">300+A30</f>
        <v>326</v>
      </c>
      <c r="X30" s="23" t="str">
        <f aca="false">"10."&amp;A30&amp;".1.0/24"</f>
        <v>10.26.1.0/24</v>
      </c>
      <c r="Y30" s="23" t="str">
        <f aca="false">IF(R30&gt;15,"Fehler: VLAN-Block über 15",IF(COUNTIFS($C$5:$C$92,C30,$R$5:$R$92,R30)&gt;1,"Fehler: VLAN-Block am Standort doppelt",IF(COUNTIF($Q$5:$Q$92,Q30)&gt;1,"Fehler: Kürzel doppelt",IF(Anlagen!F30&gt;199,"Fehler: mehr als 199 Parzellen","OK"))))</f>
        <v>OK</v>
      </c>
    </row>
    <row r="31" customFormat="false" ht="15" hidden="false" customHeight="false" outlineLevel="0" collapsed="false">
      <c r="A31" s="23" t="n">
        <f aca="false">Anlagen!A31</f>
        <v>27</v>
      </c>
      <c r="B31" s="23" t="str">
        <f aca="false">Anlagen!B31</f>
        <v>Eintracht II</v>
      </c>
      <c r="C31" s="23" t="n">
        <f aca="false">IF(Anlagen!S31&lt;&gt;"",Anlagen!S31,IF(Vorschlag_nutzen=1,Anlagen!Q31,A31))</f>
        <v>17</v>
      </c>
      <c r="D31" s="23" t="n">
        <f aca="false">IF(C31=A31,"",IF(Anlagen!T31&lt;&gt;"",Anlagen!T31,IF(AND(Anlagen!S31="",Vorschlag_nutzen=1,Anlagen!R31&lt;&gt;""),Anlagen!R31,C31)))</f>
        <v>9</v>
      </c>
      <c r="E31" s="23" t="str">
        <f aca="false">IF(C31=A31,IF(COUNTIF($C$5:$C$92,A31)&gt;1,"Gateway-Standort","eigenständig"),"über "&amp;IFERROR(INDEX(Anlagen!$B$5:$B$92,MATCH(D31,Anlagen!$A$5:$A$92,0)),"?"))</f>
        <v>über Am Eichenweg</v>
      </c>
      <c r="F31" s="36" t="n">
        <f aca="false">IF(C31=A31,0,IF(Anlagen!V31&lt;&gt;"",Anlagen!V31/1000,IFERROR(SQRT((Anlagen!N31-INDEX(Anlagen!$N$5:$N$92,MATCH(D31,Anlagen!$A$5:$A$92,0)))^2+(Anlagen!O31-INDEX(Anlagen!$O$5:$O$92,MATCH(D31,Anlagen!$A$5:$A$92,0)))^2),0)))</f>
        <v>1.13758516164725</v>
      </c>
      <c r="G31" s="37" t="n">
        <f aca="false">IF(C31=A31,0,IF(Anlagen!V31&lt;&gt;"",Anlagen!V31,F31*1000*Umweg))</f>
        <v>1478.86071014142</v>
      </c>
      <c r="H31" s="38" t="n">
        <f aca="false">IF(C31=A31,0,(G31*(P_Faser+P_Tiefbau)+2*P_SFP+P_MontZul)*EK)</f>
        <v>2870.38836760244</v>
      </c>
      <c r="I31" s="38" t="n">
        <f aca="false">IF(C31=A31,0,(P_Saeule+P_Flex+P_NT+P_Halter+P_Luefter+P_Spleiss+P_Ueber)*EK)</f>
        <v>851.326</v>
      </c>
      <c r="J31" s="23" t="n">
        <f aca="false">IF(Anlagen!U31&lt;&gt;"",Anlagen!U31,IF(C31=A31,500,1000)+ROW())</f>
        <v>1031</v>
      </c>
      <c r="K31" s="37" t="n">
        <f aca="false">SUMIFS(Anlagen!$F$5:$F$92,$C$5:$C$92,C31,$J$5:$J$92,"&lt;"&amp;J31)</f>
        <v>151</v>
      </c>
      <c r="L31" s="23" t="n">
        <f aca="false">INT(K31/PG)+1</f>
        <v>3</v>
      </c>
      <c r="M31" s="23" t="n">
        <f aca="false">MAX(L31,CEILING((K31+Anlagen!F31)/PG,1))</f>
        <v>4</v>
      </c>
      <c r="N31" s="23" t="str">
        <f aca="false">IFERROR(INDEX(Anlagen!$B$5:$B$92,MATCH(C31,Anlagen!$A$5:$A$92,0)),"?")&amp;": GW "&amp;L31&amp;IF(M31&gt;L31,"–"&amp;M31,"")</f>
        <v>Birkenwäldchen: GW 3–4</v>
      </c>
      <c r="O31" s="31" t="n">
        <f aca="false">Buchungsquote!V31</f>
        <v>24.959595959596</v>
      </c>
      <c r="P31" s="23" t="str">
        <f aca="false">IF(ISNA(MATCH(C31,Anlagen!$A$5:$A$92,0)),"Fehler: Standort unbekannt",IF(C31=A31,"OK",IF(INDEX($C$5:$C$92,MATCH(C31,Anlagen!$A$5:$A$92,0))&lt;&gt;C31,"Fehler: Standort hängt selbst an anderem Standort",IF(D31=A31,"Fehler: Zuleitung von sich selbst",IF(ISNA(MATCH(D31,Anlagen!$A$5:$A$92,0)),"Fehler: Zuleitung unbekannt",IF(INDEX($C$5:$C$92,MATCH(D31,Anlagen!$A$5:$A$92,0))&lt;&gt;C31,"Fehler: Zuleitung hängt an anderem Standort","OK"))))))</f>
        <v>OK</v>
      </c>
      <c r="Q31" s="23" t="str">
        <f aca="false">Anlagen!AA31</f>
        <v>EINT2</v>
      </c>
      <c r="R31" s="23" t="n">
        <f aca="false">IF(Anlagen!AB31&lt;&gt;"",Anlagen!AB31,COUNTIFS($C$5:$C$92,C31,$J$5:$J$92,"&lt;"&amp;J31)+1)</f>
        <v>4</v>
      </c>
      <c r="S31" s="23" t="n">
        <f aca="false">1000+200*(R31-1)+1</f>
        <v>1601</v>
      </c>
      <c r="T31" s="23" t="n">
        <f aca="false">1000+200*(R31-1)+Anlagen!F31</f>
        <v>1642</v>
      </c>
      <c r="U31" s="23" t="n">
        <f aca="false">100+A31</f>
        <v>127</v>
      </c>
      <c r="V31" s="23" t="n">
        <f aca="false">200+A31</f>
        <v>227</v>
      </c>
      <c r="W31" s="23" t="n">
        <f aca="false">300+A31</f>
        <v>327</v>
      </c>
      <c r="X31" s="23" t="str">
        <f aca="false">"10."&amp;A31&amp;".1.0/24"</f>
        <v>10.27.1.0/24</v>
      </c>
      <c r="Y31" s="23" t="str">
        <f aca="false">IF(R31&gt;15,"Fehler: VLAN-Block über 15",IF(COUNTIFS($C$5:$C$92,C31,$R$5:$R$92,R31)&gt;1,"Fehler: VLAN-Block am Standort doppelt",IF(COUNTIF($Q$5:$Q$92,Q31)&gt;1,"Fehler: Kürzel doppelt",IF(Anlagen!F31&gt;199,"Fehler: mehr als 199 Parzellen","OK"))))</f>
        <v>OK</v>
      </c>
    </row>
    <row r="32" customFormat="false" ht="15" hidden="false" customHeight="false" outlineLevel="0" collapsed="false">
      <c r="A32" s="23" t="n">
        <f aca="false">Anlagen!A32</f>
        <v>28</v>
      </c>
      <c r="B32" s="23" t="str">
        <f aca="false">Anlagen!B32</f>
        <v>Erdenglück</v>
      </c>
      <c r="C32" s="23" t="n">
        <f aca="false">IF(Anlagen!S32&lt;&gt;"",Anlagen!S32,IF(Vorschlag_nutzen=1,Anlagen!Q32,A32))</f>
        <v>28</v>
      </c>
      <c r="D32" s="23" t="str">
        <f aca="false">IF(C32=A32,"",IF(Anlagen!T32&lt;&gt;"",Anlagen!T32,IF(AND(Anlagen!S32="",Vorschlag_nutzen=1,Anlagen!R32&lt;&gt;""),Anlagen!R32,C32)))</f>
        <v/>
      </c>
      <c r="E32" s="23" t="str">
        <f aca="false">IF(C32=A32,IF(COUNTIF($C$5:$C$92,A32)&gt;1,"Gateway-Standort","eigenständig"),"über "&amp;IFERROR(INDEX(Anlagen!$B$5:$B$92,MATCH(D32,Anlagen!$A$5:$A$92,0)),"?"))</f>
        <v>Gateway-Standort</v>
      </c>
      <c r="F32" s="36" t="n">
        <f aca="false">IF(C32=A32,0,IF(Anlagen!V32&lt;&gt;"",Anlagen!V32/1000,IFERROR(SQRT((Anlagen!N32-INDEX(Anlagen!$N$5:$N$92,MATCH(D32,Anlagen!$A$5:$A$92,0)))^2+(Anlagen!O32-INDEX(Anlagen!$O$5:$O$92,MATCH(D32,Anlagen!$A$5:$A$92,0)))^2),0)))</f>
        <v>0</v>
      </c>
      <c r="G32" s="37" t="n">
        <f aca="false">IF(C32=A32,0,IF(Anlagen!V32&lt;&gt;"",Anlagen!V32,F32*1000*Umweg))</f>
        <v>0</v>
      </c>
      <c r="H32" s="38" t="n">
        <f aca="false">IF(C32=A32,0,(G32*(P_Faser+P_Tiefbau)+2*P_SFP+P_MontZul)*EK)</f>
        <v>0</v>
      </c>
      <c r="I32" s="38" t="n">
        <f aca="false">IF(C32=A32,0,(P_Saeule+P_Flex+P_NT+P_Halter+P_Luefter+P_Spleiss+P_Ueber)*EK)</f>
        <v>0</v>
      </c>
      <c r="J32" s="23" t="n">
        <f aca="false">IF(Anlagen!U32&lt;&gt;"",Anlagen!U32,IF(C32=A32,500,1000)+ROW())</f>
        <v>532</v>
      </c>
      <c r="K32" s="37" t="n">
        <f aca="false">SUMIFS(Anlagen!$F$5:$F$92,$C$5:$C$92,C32,$J$5:$J$92,"&lt;"&amp;J32)</f>
        <v>0</v>
      </c>
      <c r="L32" s="23" t="n">
        <f aca="false">INT(K32/PG)+1</f>
        <v>1</v>
      </c>
      <c r="M32" s="23" t="n">
        <f aca="false">MAX(L32,CEILING((K32+Anlagen!F32)/PG,1))</f>
        <v>2</v>
      </c>
      <c r="N32" s="23" t="str">
        <f aca="false">IFERROR(INDEX(Anlagen!$B$5:$B$92,MATCH(C32,Anlagen!$A$5:$A$92,0)),"?")&amp;": GW "&amp;L32&amp;IF(M32&gt;L32,"–"&amp;M32,"")</f>
        <v>Erdenglück: GW 1–2</v>
      </c>
      <c r="O32" s="31" t="n">
        <f aca="false">Buchungsquote!V32</f>
        <v>54.8714949651433</v>
      </c>
      <c r="P32" s="23" t="str">
        <f aca="false">IF(ISNA(MATCH(C32,Anlagen!$A$5:$A$92,0)),"Fehler: Standort unbekannt",IF(C32=A32,"OK",IF(INDEX($C$5:$C$92,MATCH(C32,Anlagen!$A$5:$A$92,0))&lt;&gt;C32,"Fehler: Standort hängt selbst an anderem Standort",IF(D32=A32,"Fehler: Zuleitung von sich selbst",IF(ISNA(MATCH(D32,Anlagen!$A$5:$A$92,0)),"Fehler: Zuleitung unbekannt",IF(INDEX($C$5:$C$92,MATCH(D32,Anlagen!$A$5:$A$92,0))&lt;&gt;C32,"Fehler: Zuleitung hängt an anderem Standort","OK"))))))</f>
        <v>OK</v>
      </c>
      <c r="Q32" s="23" t="str">
        <f aca="false">Anlagen!AA32</f>
        <v>ERDGL</v>
      </c>
      <c r="R32" s="23" t="n">
        <f aca="false">IF(Anlagen!AB32&lt;&gt;"",Anlagen!AB32,COUNTIFS($C$5:$C$92,C32,$J$5:$J$92,"&lt;"&amp;J32)+1)</f>
        <v>1</v>
      </c>
      <c r="S32" s="23" t="n">
        <f aca="false">1000+200*(R32-1)+1</f>
        <v>1001</v>
      </c>
      <c r="T32" s="23" t="n">
        <f aca="false">1000+200*(R32-1)+Anlagen!F32</f>
        <v>1099</v>
      </c>
      <c r="U32" s="23" t="n">
        <f aca="false">100+A32</f>
        <v>128</v>
      </c>
      <c r="V32" s="23" t="n">
        <f aca="false">200+A32</f>
        <v>228</v>
      </c>
      <c r="W32" s="23" t="n">
        <f aca="false">300+A32</f>
        <v>328</v>
      </c>
      <c r="X32" s="23" t="str">
        <f aca="false">"10."&amp;A32&amp;".1.0/24"</f>
        <v>10.28.1.0/24</v>
      </c>
      <c r="Y32" s="23" t="str">
        <f aca="false">IF(R32&gt;15,"Fehler: VLAN-Block über 15",IF(COUNTIFS($C$5:$C$92,C32,$R$5:$R$92,R32)&gt;1,"Fehler: VLAN-Block am Standort doppelt",IF(COUNTIF($Q$5:$Q$92,Q32)&gt;1,"Fehler: Kürzel doppelt",IF(Anlagen!F32&gt;199,"Fehler: mehr als 199 Parzellen","OK"))))</f>
        <v>OK</v>
      </c>
    </row>
    <row r="33" customFormat="false" ht="15" hidden="false" customHeight="false" outlineLevel="0" collapsed="false">
      <c r="A33" s="23" t="n">
        <f aca="false">Anlagen!A33</f>
        <v>29</v>
      </c>
      <c r="B33" s="23" t="str">
        <f aca="false">Anlagen!B33</f>
        <v>Erntesegen</v>
      </c>
      <c r="C33" s="23" t="n">
        <f aca="false">IF(Anlagen!S33&lt;&gt;"",Anlagen!S33,IF(Vorschlag_nutzen=1,Anlagen!Q33,A33))</f>
        <v>28</v>
      </c>
      <c r="D33" s="23" t="n">
        <f aca="false">IF(C33=A33,"",IF(Anlagen!T33&lt;&gt;"",Anlagen!T33,IF(AND(Anlagen!S33="",Vorschlag_nutzen=1,Anlagen!R33&lt;&gt;""),Anlagen!R33,C33)))</f>
        <v>28</v>
      </c>
      <c r="E33" s="23" t="str">
        <f aca="false">IF(C33=A33,IF(COUNTIF($C$5:$C$92,A33)&gt;1,"Gateway-Standort","eigenständig"),"über "&amp;IFERROR(INDEX(Anlagen!$B$5:$B$92,MATCH(D33,Anlagen!$A$5:$A$92,0)),"?"))</f>
        <v>über Erdenglück</v>
      </c>
      <c r="F33" s="36" t="n">
        <f aca="false">IF(C33=A33,0,IF(Anlagen!V33&lt;&gt;"",Anlagen!V33/1000,IFERROR(SQRT((Anlagen!N33-INDEX(Anlagen!$N$5:$N$92,MATCH(D33,Anlagen!$A$5:$A$92,0)))^2+(Anlagen!O33-INDEX(Anlagen!$O$5:$O$92,MATCH(D33,Anlagen!$A$5:$A$92,0)))^2),0)))</f>
        <v>1.32853302555864</v>
      </c>
      <c r="G33" s="37" t="n">
        <f aca="false">IF(C33=A33,0,IF(Anlagen!V33&lt;&gt;"",Anlagen!V33,F33*1000*Umweg))</f>
        <v>1727.09293322624</v>
      </c>
      <c r="H33" s="38" t="n">
        <f aca="false">IF(C33=A33,0,(G33*(P_Faser+P_Tiefbau)+2*P_SFP+P_MontZul)*EK)</f>
        <v>3313.48288580883</v>
      </c>
      <c r="I33" s="38" t="n">
        <f aca="false">IF(C33=A33,0,(P_Saeule+P_Flex+P_NT+P_Halter+P_Luefter+P_Spleiss+P_Ueber)*EK)</f>
        <v>851.326</v>
      </c>
      <c r="J33" s="23" t="n">
        <f aca="false">IF(Anlagen!U33&lt;&gt;"",Anlagen!U33,IF(C33=A33,500,1000)+ROW())</f>
        <v>1033</v>
      </c>
      <c r="K33" s="37" t="n">
        <f aca="false">SUMIFS(Anlagen!$F$5:$F$92,$C$5:$C$92,C33,$J$5:$J$92,"&lt;"&amp;J33)</f>
        <v>113</v>
      </c>
      <c r="L33" s="23" t="n">
        <f aca="false">INT(K33/PG)+1</f>
        <v>3</v>
      </c>
      <c r="M33" s="23" t="n">
        <f aca="false">MAX(L33,CEILING((K33+Anlagen!F33)/PG,1))</f>
        <v>4</v>
      </c>
      <c r="N33" s="23" t="str">
        <f aca="false">IFERROR(INDEX(Anlagen!$B$5:$B$92,MATCH(C33,Anlagen!$A$5:$A$92,0)),"?")&amp;": GW "&amp;L33&amp;IF(M33&gt;L33,"–"&amp;M33,"")</f>
        <v>Erdenglück: GW 3–4</v>
      </c>
      <c r="O33" s="31" t="n">
        <f aca="false">Buchungsquote!V33</f>
        <v>56.4711050724638</v>
      </c>
      <c r="P33" s="23" t="str">
        <f aca="false">IF(ISNA(MATCH(C33,Anlagen!$A$5:$A$92,0)),"Fehler: Standort unbekannt",IF(C33=A33,"OK",IF(INDEX($C$5:$C$92,MATCH(C33,Anlagen!$A$5:$A$92,0))&lt;&gt;C33,"Fehler: Standort hängt selbst an anderem Standort",IF(D33=A33,"Fehler: Zuleitung von sich selbst",IF(ISNA(MATCH(D33,Anlagen!$A$5:$A$92,0)),"Fehler: Zuleitung unbekannt",IF(INDEX($C$5:$C$92,MATCH(D33,Anlagen!$A$5:$A$92,0))&lt;&gt;C33,"Fehler: Zuleitung hängt an anderem Standort","OK"))))))</f>
        <v>OK</v>
      </c>
      <c r="Q33" s="23" t="str">
        <f aca="false">Anlagen!AA33</f>
        <v>ERNTE</v>
      </c>
      <c r="R33" s="23" t="n">
        <f aca="false">IF(Anlagen!AB33&lt;&gt;"",Anlagen!AB33,COUNTIFS($C$5:$C$92,C33,$J$5:$J$92,"&lt;"&amp;J33)+1)</f>
        <v>3</v>
      </c>
      <c r="S33" s="23" t="n">
        <f aca="false">1000+200*(R33-1)+1</f>
        <v>1401</v>
      </c>
      <c r="T33" s="23" t="n">
        <f aca="false">1000+200*(R33-1)+Anlagen!F33</f>
        <v>1492</v>
      </c>
      <c r="U33" s="23" t="n">
        <f aca="false">100+A33</f>
        <v>129</v>
      </c>
      <c r="V33" s="23" t="n">
        <f aca="false">200+A33</f>
        <v>229</v>
      </c>
      <c r="W33" s="23" t="n">
        <f aca="false">300+A33</f>
        <v>329</v>
      </c>
      <c r="X33" s="23" t="str">
        <f aca="false">"10."&amp;A33&amp;".1.0/24"</f>
        <v>10.29.1.0/24</v>
      </c>
      <c r="Y33" s="23" t="str">
        <f aca="false">IF(R33&gt;15,"Fehler: VLAN-Block über 15",IF(COUNTIFS($C$5:$C$92,C33,$R$5:$R$92,R33)&gt;1,"Fehler: VLAN-Block am Standort doppelt",IF(COUNTIF($Q$5:$Q$92,Q33)&gt;1,"Fehler: Kürzel doppelt",IF(Anlagen!F33&gt;199,"Fehler: mehr als 199 Parzellen","OK"))))</f>
        <v>OK</v>
      </c>
    </row>
    <row r="34" customFormat="false" ht="15" hidden="false" customHeight="false" outlineLevel="0" collapsed="false">
      <c r="A34" s="23" t="n">
        <f aca="false">Anlagen!A34</f>
        <v>30</v>
      </c>
      <c r="B34" s="23" t="str">
        <f aca="false">Anlagen!B34</f>
        <v>Feierabend</v>
      </c>
      <c r="C34" s="23" t="n">
        <f aca="false">IF(Anlagen!S34&lt;&gt;"",Anlagen!S34,IF(Vorschlag_nutzen=1,Anlagen!Q34,A34))</f>
        <v>30</v>
      </c>
      <c r="D34" s="23" t="str">
        <f aca="false">IF(C34=A34,"",IF(Anlagen!T34&lt;&gt;"",Anlagen!T34,IF(AND(Anlagen!S34="",Vorschlag_nutzen=1,Anlagen!R34&lt;&gt;""),Anlagen!R34,C34)))</f>
        <v/>
      </c>
      <c r="E34" s="23" t="str">
        <f aca="false">IF(C34=A34,IF(COUNTIF($C$5:$C$92,A34)&gt;1,"Gateway-Standort","eigenständig"),"über "&amp;IFERROR(INDEX(Anlagen!$B$5:$B$92,MATCH(D34,Anlagen!$A$5:$A$92,0)),"?"))</f>
        <v>Gateway-Standort</v>
      </c>
      <c r="F34" s="36" t="n">
        <f aca="false">IF(C34=A34,0,IF(Anlagen!V34&lt;&gt;"",Anlagen!V34/1000,IFERROR(SQRT((Anlagen!N34-INDEX(Anlagen!$N$5:$N$92,MATCH(D34,Anlagen!$A$5:$A$92,0)))^2+(Anlagen!O34-INDEX(Anlagen!$O$5:$O$92,MATCH(D34,Anlagen!$A$5:$A$92,0)))^2),0)))</f>
        <v>0</v>
      </c>
      <c r="G34" s="37" t="n">
        <f aca="false">IF(C34=A34,0,IF(Anlagen!V34&lt;&gt;"",Anlagen!V34,F34*1000*Umweg))</f>
        <v>0</v>
      </c>
      <c r="H34" s="38" t="n">
        <f aca="false">IF(C34=A34,0,(G34*(P_Faser+P_Tiefbau)+2*P_SFP+P_MontZul)*EK)</f>
        <v>0</v>
      </c>
      <c r="I34" s="38" t="n">
        <f aca="false">IF(C34=A34,0,(P_Saeule+P_Flex+P_NT+P_Halter+P_Luefter+P_Spleiss+P_Ueber)*EK)</f>
        <v>0</v>
      </c>
      <c r="J34" s="23" t="n">
        <f aca="false">IF(Anlagen!U34&lt;&gt;"",Anlagen!U34,IF(C34=A34,500,1000)+ROW())</f>
        <v>534</v>
      </c>
      <c r="K34" s="37" t="n">
        <f aca="false">SUMIFS(Anlagen!$F$5:$F$92,$C$5:$C$92,C34,$J$5:$J$92,"&lt;"&amp;J34)</f>
        <v>0</v>
      </c>
      <c r="L34" s="23" t="n">
        <f aca="false">INT(K34/PG)+1</f>
        <v>1</v>
      </c>
      <c r="M34" s="23" t="n">
        <f aca="false">MAX(L34,CEILING((K34+Anlagen!F34)/PG,1))</f>
        <v>4</v>
      </c>
      <c r="N34" s="23" t="str">
        <f aca="false">IFERROR(INDEX(Anlagen!$B$5:$B$92,MATCH(C34,Anlagen!$A$5:$A$92,0)),"?")&amp;": GW "&amp;L34&amp;IF(M34&gt;L34,"–"&amp;M34,"")</f>
        <v>Feierabend: GW 1–4</v>
      </c>
      <c r="O34" s="31" t="n">
        <f aca="false">Buchungsquote!V34</f>
        <v>102.981733679205</v>
      </c>
      <c r="P34" s="23" t="str">
        <f aca="false">IF(ISNA(MATCH(C34,Anlagen!$A$5:$A$92,0)),"Fehler: Standort unbekannt",IF(C34=A34,"OK",IF(INDEX($C$5:$C$92,MATCH(C34,Anlagen!$A$5:$A$92,0))&lt;&gt;C34,"Fehler: Standort hängt selbst an anderem Standort",IF(D34=A34,"Fehler: Zuleitung von sich selbst",IF(ISNA(MATCH(D34,Anlagen!$A$5:$A$92,0)),"Fehler: Zuleitung unbekannt",IF(INDEX($C$5:$C$92,MATCH(D34,Anlagen!$A$5:$A$92,0))&lt;&gt;C34,"Fehler: Zuleitung hängt an anderem Standort","OK"))))))</f>
        <v>OK</v>
      </c>
      <c r="Q34" s="23" t="str">
        <f aca="false">Anlagen!AA34</f>
        <v>FEIER</v>
      </c>
      <c r="R34" s="23" t="n">
        <f aca="false">IF(Anlagen!AB34&lt;&gt;"",Anlagen!AB34,COUNTIFS($C$5:$C$92,C34,$J$5:$J$92,"&lt;"&amp;J34)+1)</f>
        <v>1</v>
      </c>
      <c r="S34" s="23" t="n">
        <f aca="false">1000+200*(R34-1)+1</f>
        <v>1001</v>
      </c>
      <c r="T34" s="23" t="n">
        <f aca="false">1000+200*(R34-1)+Anlagen!F34</f>
        <v>1190</v>
      </c>
      <c r="U34" s="23" t="n">
        <f aca="false">100+A34</f>
        <v>130</v>
      </c>
      <c r="V34" s="23" t="n">
        <f aca="false">200+A34</f>
        <v>230</v>
      </c>
      <c r="W34" s="23" t="n">
        <f aca="false">300+A34</f>
        <v>330</v>
      </c>
      <c r="X34" s="23" t="str">
        <f aca="false">"10."&amp;A34&amp;".1.0/24"</f>
        <v>10.30.1.0/24</v>
      </c>
      <c r="Y34" s="23" t="str">
        <f aca="false">IF(R34&gt;15,"Fehler: VLAN-Block über 15",IF(COUNTIFS($C$5:$C$92,C34,$R$5:$R$92,R34)&gt;1,"Fehler: VLAN-Block am Standort doppelt",IF(COUNTIF($Q$5:$Q$92,Q34)&gt;1,"Fehler: Kürzel doppelt",IF(Anlagen!F34&gt;199,"Fehler: mehr als 199 Parzellen","OK"))))</f>
        <v>OK</v>
      </c>
    </row>
    <row r="35" customFormat="false" ht="15" hidden="false" customHeight="false" outlineLevel="0" collapsed="false">
      <c r="A35" s="23" t="n">
        <f aca="false">Anlagen!A35</f>
        <v>31</v>
      </c>
      <c r="B35" s="23" t="str">
        <f aca="false">Anlagen!B35</f>
        <v>Feldstraße</v>
      </c>
      <c r="C35" s="23" t="n">
        <f aca="false">IF(Anlagen!S35&lt;&gt;"",Anlagen!S35,IF(Vorschlag_nutzen=1,Anlagen!Q35,A35))</f>
        <v>41</v>
      </c>
      <c r="D35" s="23" t="n">
        <f aca="false">IF(C35=A35,"",IF(Anlagen!T35&lt;&gt;"",Anlagen!T35,IF(AND(Anlagen!S35="",Vorschlag_nutzen=1,Anlagen!R35&lt;&gt;""),Anlagen!R35,C35)))</f>
        <v>60</v>
      </c>
      <c r="E35" s="23" t="str">
        <f aca="false">IF(C35=A35,IF(COUNTIF($C$5:$C$92,A35)&gt;1,"Gateway-Standort","eigenständig"),"über "&amp;IFERROR(INDEX(Anlagen!$B$5:$B$92,MATCH(D35,Anlagen!$A$5:$A$92,0)),"?"))</f>
        <v>über Landheim</v>
      </c>
      <c r="F35" s="36" t="n">
        <f aca="false">IF(C35=A35,0,IF(Anlagen!V35&lt;&gt;"",Anlagen!V35/1000,IFERROR(SQRT((Anlagen!N35-INDEX(Anlagen!$N$5:$N$92,MATCH(D35,Anlagen!$A$5:$A$92,0)))^2+(Anlagen!O35-INDEX(Anlagen!$O$5:$O$92,MATCH(D35,Anlagen!$A$5:$A$92,0)))^2),0)))</f>
        <v>0.254950975679639</v>
      </c>
      <c r="G35" s="37" t="n">
        <f aca="false">IF(C35=A35,0,IF(Anlagen!V35&lt;&gt;"",Anlagen!V35,F35*1000*Umweg))</f>
        <v>331.436268383531</v>
      </c>
      <c r="H35" s="38" t="n">
        <f aca="false">IF(C35=A35,0,(G35*(P_Faser+P_Tiefbau)+2*P_SFP+P_MontZul)*EK)</f>
        <v>822.235739064603</v>
      </c>
      <c r="I35" s="38" t="n">
        <f aca="false">IF(C35=A35,0,(P_Saeule+P_Flex+P_NT+P_Halter+P_Luefter+P_Spleiss+P_Ueber)*EK)</f>
        <v>851.326</v>
      </c>
      <c r="J35" s="23" t="n">
        <f aca="false">IF(Anlagen!U35&lt;&gt;"",Anlagen!U35,IF(C35=A35,500,1000)+ROW())</f>
        <v>1035</v>
      </c>
      <c r="K35" s="37" t="n">
        <f aca="false">SUMIFS(Anlagen!$F$5:$F$92,$C$5:$C$92,C35,$J$5:$J$92,"&lt;"&amp;J35)</f>
        <v>300</v>
      </c>
      <c r="L35" s="23" t="n">
        <f aca="false">INT(K35/PG)+1</f>
        <v>6</v>
      </c>
      <c r="M35" s="23" t="n">
        <f aca="false">MAX(L35,CEILING((K35+Anlagen!F35)/PG,1))</f>
        <v>7</v>
      </c>
      <c r="N35" s="23" t="str">
        <f aca="false">IFERROR(INDEX(Anlagen!$B$5:$B$92,MATCH(C35,Anlagen!$A$5:$A$92,0)),"?")&amp;": GW "&amp;L35&amp;IF(M35&gt;L35,"–"&amp;M35,"")</f>
        <v>Glück im Winkel: GW 6–7</v>
      </c>
      <c r="O35" s="31" t="n">
        <f aca="false">Buchungsquote!V35</f>
        <v>33.5064303797468</v>
      </c>
      <c r="P35" s="23" t="str">
        <f aca="false">IF(ISNA(MATCH(C35,Anlagen!$A$5:$A$92,0)),"Fehler: Standort unbekannt",IF(C35=A35,"OK",IF(INDEX($C$5:$C$92,MATCH(C35,Anlagen!$A$5:$A$92,0))&lt;&gt;C35,"Fehler: Standort hängt selbst an anderem Standort",IF(D35=A35,"Fehler: Zuleitung von sich selbst",IF(ISNA(MATCH(D35,Anlagen!$A$5:$A$92,0)),"Fehler: Zuleitung unbekannt",IF(INDEX($C$5:$C$92,MATCH(D35,Anlagen!$A$5:$A$92,0))&lt;&gt;C35,"Fehler: Zuleitung hängt an anderem Standort","OK"))))))</f>
        <v>OK</v>
      </c>
      <c r="Q35" s="23" t="str">
        <f aca="false">Anlagen!AA35</f>
        <v>FELD</v>
      </c>
      <c r="R35" s="23" t="n">
        <f aca="false">IF(Anlagen!AB35&lt;&gt;"",Anlagen!AB35,COUNTIFS($C$5:$C$92,C35,$J$5:$J$92,"&lt;"&amp;J35)+1)</f>
        <v>4</v>
      </c>
      <c r="S35" s="23" t="n">
        <f aca="false">1000+200*(R35-1)+1</f>
        <v>1601</v>
      </c>
      <c r="T35" s="23" t="n">
        <f aca="false">1000+200*(R35-1)+Anlagen!F35</f>
        <v>1668</v>
      </c>
      <c r="U35" s="23" t="n">
        <f aca="false">100+A35</f>
        <v>131</v>
      </c>
      <c r="V35" s="23" t="n">
        <f aca="false">200+A35</f>
        <v>231</v>
      </c>
      <c r="W35" s="23" t="n">
        <f aca="false">300+A35</f>
        <v>331</v>
      </c>
      <c r="X35" s="23" t="str">
        <f aca="false">"10."&amp;A35&amp;".1.0/24"</f>
        <v>10.31.1.0/24</v>
      </c>
      <c r="Y35" s="23" t="str">
        <f aca="false">IF(R35&gt;15,"Fehler: VLAN-Block über 15",IF(COUNTIFS($C$5:$C$92,C35,$R$5:$R$92,R35)&gt;1,"Fehler: VLAN-Block am Standort doppelt",IF(COUNTIF($Q$5:$Q$92,Q35)&gt;1,"Fehler: Kürzel doppelt",IF(Anlagen!F35&gt;199,"Fehler: mehr als 199 Parzellen","OK"))))</f>
        <v>OK</v>
      </c>
    </row>
    <row r="36" customFormat="false" ht="15" hidden="false" customHeight="false" outlineLevel="0" collapsed="false">
      <c r="A36" s="23" t="n">
        <f aca="false">Anlagen!A36</f>
        <v>32</v>
      </c>
      <c r="B36" s="23" t="str">
        <f aca="false">Anlagen!B36</f>
        <v>Finkenhain</v>
      </c>
      <c r="C36" s="23" t="n">
        <f aca="false">IF(Anlagen!S36&lt;&gt;"",Anlagen!S36,IF(Vorschlag_nutzen=1,Anlagen!Q36,A36))</f>
        <v>28</v>
      </c>
      <c r="D36" s="23" t="n">
        <f aca="false">IF(C36=A36,"",IF(Anlagen!T36&lt;&gt;"",Anlagen!T36,IF(AND(Anlagen!S36="",Vorschlag_nutzen=1,Anlagen!R36&lt;&gt;""),Anlagen!R36,C36)))</f>
        <v>82</v>
      </c>
      <c r="E36" s="23" t="str">
        <f aca="false">IF(C36=A36,IF(COUNTIF($C$5:$C$92,A36)&gt;1,"Gateway-Standort","eigenständig"),"über "&amp;IFERROR(INDEX(Anlagen!$B$5:$B$92,MATCH(D36,Anlagen!$A$5:$A$92,0)),"?"))</f>
        <v>über Waldfrieden</v>
      </c>
      <c r="F36" s="36" t="n">
        <f aca="false">IF(C36=A36,0,IF(Anlagen!V36&lt;&gt;"",Anlagen!V36/1000,IFERROR(SQRT((Anlagen!N36-INDEX(Anlagen!$N$5:$N$92,MATCH(D36,Anlagen!$A$5:$A$92,0)))^2+(Anlagen!O36-INDEX(Anlagen!$O$5:$O$92,MATCH(D36,Anlagen!$A$5:$A$92,0)))^2),0)))</f>
        <v>0.298328677803527</v>
      </c>
      <c r="G36" s="37" t="n">
        <f aca="false">IF(C36=A36,0,IF(Anlagen!V36&lt;&gt;"",Anlagen!V36,F36*1000*Umweg))</f>
        <v>387.827281144584</v>
      </c>
      <c r="H36" s="38" t="n">
        <f aca="false">IF(C36=A36,0,(G36*(P_Faser+P_Tiefbau)+2*P_SFP+P_MontZul)*EK)</f>
        <v>922.893696843083</v>
      </c>
      <c r="I36" s="38" t="n">
        <f aca="false">IF(C36=A36,0,(P_Saeule+P_Flex+P_NT+P_Halter+P_Luefter+P_Spleiss+P_Ueber)*EK)</f>
        <v>851.326</v>
      </c>
      <c r="J36" s="23" t="n">
        <f aca="false">IF(Anlagen!U36&lt;&gt;"",Anlagen!U36,IF(C36=A36,500,1000)+ROW())</f>
        <v>1036</v>
      </c>
      <c r="K36" s="37" t="n">
        <f aca="false">SUMIFS(Anlagen!$F$5:$F$92,$C$5:$C$92,C36,$J$5:$J$92,"&lt;"&amp;J36)</f>
        <v>205</v>
      </c>
      <c r="L36" s="23" t="n">
        <f aca="false">INT(K36/PG)+1</f>
        <v>4</v>
      </c>
      <c r="M36" s="23" t="n">
        <f aca="false">MAX(L36,CEILING((K36+Anlagen!F36)/PG,1))</f>
        <v>4</v>
      </c>
      <c r="N36" s="23" t="str">
        <f aca="false">IFERROR(INDEX(Anlagen!$B$5:$B$92,MATCH(C36,Anlagen!$A$5:$A$92,0)),"?")&amp;": GW "&amp;L36&amp;IF(M36&gt;L36,"–"&amp;M36,"")</f>
        <v>Erdenglück: GW 4</v>
      </c>
      <c r="O36" s="31" t="n">
        <f aca="false">Buchungsquote!V36</f>
        <v>3.945</v>
      </c>
      <c r="P36" s="23" t="str">
        <f aca="false">IF(ISNA(MATCH(C36,Anlagen!$A$5:$A$92,0)),"Fehler: Standort unbekannt",IF(C36=A36,"OK",IF(INDEX($C$5:$C$92,MATCH(C36,Anlagen!$A$5:$A$92,0))&lt;&gt;C36,"Fehler: Standort hängt selbst an anderem Standort",IF(D36=A36,"Fehler: Zuleitung von sich selbst",IF(ISNA(MATCH(D36,Anlagen!$A$5:$A$92,0)),"Fehler: Zuleitung unbekannt",IF(INDEX($C$5:$C$92,MATCH(D36,Anlagen!$A$5:$A$92,0))&lt;&gt;C36,"Fehler: Zuleitung hängt an anderem Standort","OK"))))))</f>
        <v>OK</v>
      </c>
      <c r="Q36" s="23" t="str">
        <f aca="false">Anlagen!AA36</f>
        <v>FINK</v>
      </c>
      <c r="R36" s="23" t="n">
        <f aca="false">IF(Anlagen!AB36&lt;&gt;"",Anlagen!AB36,COUNTIFS($C$5:$C$92,C36,$J$5:$J$92,"&lt;"&amp;J36)+1)</f>
        <v>4</v>
      </c>
      <c r="S36" s="23" t="n">
        <f aca="false">1000+200*(R36-1)+1</f>
        <v>1601</v>
      </c>
      <c r="T36" s="23" t="n">
        <f aca="false">1000+200*(R36-1)+Anlagen!F36</f>
        <v>1608</v>
      </c>
      <c r="U36" s="23" t="n">
        <f aca="false">100+A36</f>
        <v>132</v>
      </c>
      <c r="V36" s="23" t="n">
        <f aca="false">200+A36</f>
        <v>232</v>
      </c>
      <c r="W36" s="23" t="n">
        <f aca="false">300+A36</f>
        <v>332</v>
      </c>
      <c r="X36" s="23" t="str">
        <f aca="false">"10."&amp;A36&amp;".1.0/24"</f>
        <v>10.32.1.0/24</v>
      </c>
      <c r="Y36" s="23" t="str">
        <f aca="false">IF(R36&gt;15,"Fehler: VLAN-Block über 15",IF(COUNTIFS($C$5:$C$92,C36,$R$5:$R$92,R36)&gt;1,"Fehler: VLAN-Block am Standort doppelt",IF(COUNTIF($Q$5:$Q$92,Q36)&gt;1,"Fehler: Kürzel doppelt",IF(Anlagen!F36&gt;199,"Fehler: mehr als 199 Parzellen","OK"))))</f>
        <v>OK</v>
      </c>
    </row>
    <row r="37" customFormat="false" ht="15" hidden="false" customHeight="false" outlineLevel="0" collapsed="false">
      <c r="A37" s="23" t="n">
        <f aca="false">Anlagen!A37</f>
        <v>33</v>
      </c>
      <c r="B37" s="23" t="str">
        <f aca="false">Anlagen!B37</f>
        <v>Fohrder Landstraße</v>
      </c>
      <c r="C37" s="23" t="n">
        <f aca="false">IF(Anlagen!S37&lt;&gt;"",Anlagen!S37,IF(Vorschlag_nutzen=1,Anlagen!Q37,A37))</f>
        <v>33</v>
      </c>
      <c r="D37" s="23" t="str">
        <f aca="false">IF(C37=A37,"",IF(Anlagen!T37&lt;&gt;"",Anlagen!T37,IF(AND(Anlagen!S37="",Vorschlag_nutzen=1,Anlagen!R37&lt;&gt;""),Anlagen!R37,C37)))</f>
        <v/>
      </c>
      <c r="E37" s="23" t="str">
        <f aca="false">IF(C37=A37,IF(COUNTIF($C$5:$C$92,A37)&gt;1,"Gateway-Standort","eigenständig"),"über "&amp;IFERROR(INDEX(Anlagen!$B$5:$B$92,MATCH(D37,Anlagen!$A$5:$A$92,0)),"?"))</f>
        <v>Gateway-Standort</v>
      </c>
      <c r="F37" s="36" t="n">
        <f aca="false">IF(C37=A37,0,IF(Anlagen!V37&lt;&gt;"",Anlagen!V37/1000,IFERROR(SQRT((Anlagen!N37-INDEX(Anlagen!$N$5:$N$92,MATCH(D37,Anlagen!$A$5:$A$92,0)))^2+(Anlagen!O37-INDEX(Anlagen!$O$5:$O$92,MATCH(D37,Anlagen!$A$5:$A$92,0)))^2),0)))</f>
        <v>0</v>
      </c>
      <c r="G37" s="37" t="n">
        <f aca="false">IF(C37=A37,0,IF(Anlagen!V37&lt;&gt;"",Anlagen!V37,F37*1000*Umweg))</f>
        <v>0</v>
      </c>
      <c r="H37" s="38" t="n">
        <f aca="false">IF(C37=A37,0,(G37*(P_Faser+P_Tiefbau)+2*P_SFP+P_MontZul)*EK)</f>
        <v>0</v>
      </c>
      <c r="I37" s="38" t="n">
        <f aca="false">IF(C37=A37,0,(P_Saeule+P_Flex+P_NT+P_Halter+P_Luefter+P_Spleiss+P_Ueber)*EK)</f>
        <v>0</v>
      </c>
      <c r="J37" s="23" t="n">
        <f aca="false">IF(Anlagen!U37&lt;&gt;"",Anlagen!U37,IF(C37=A37,500,1000)+ROW())</f>
        <v>537</v>
      </c>
      <c r="K37" s="37" t="n">
        <f aca="false">SUMIFS(Anlagen!$F$5:$F$92,$C$5:$C$92,C37,$J$5:$J$92,"&lt;"&amp;J37)</f>
        <v>0</v>
      </c>
      <c r="L37" s="23" t="n">
        <f aca="false">INT(K37/PG)+1</f>
        <v>1</v>
      </c>
      <c r="M37" s="23" t="n">
        <f aca="false">MAX(L37,CEILING((K37+Anlagen!F37)/PG,1))</f>
        <v>3</v>
      </c>
      <c r="N37" s="23" t="str">
        <f aca="false">IFERROR(INDEX(Anlagen!$B$5:$B$92,MATCH(C37,Anlagen!$A$5:$A$92,0)),"?")&amp;": GW "&amp;L37&amp;IF(M37&gt;L37,"–"&amp;M37,"")</f>
        <v>Fohrder Landstraße: GW 1–3</v>
      </c>
      <c r="O37" s="31" t="n">
        <f aca="false">Buchungsquote!V37</f>
        <v>71.816814159292</v>
      </c>
      <c r="P37" s="23" t="str">
        <f aca="false">IF(ISNA(MATCH(C37,Anlagen!$A$5:$A$92,0)),"Fehler: Standort unbekannt",IF(C37=A37,"OK",IF(INDEX($C$5:$C$92,MATCH(C37,Anlagen!$A$5:$A$92,0))&lt;&gt;C37,"Fehler: Standort hängt selbst an anderem Standort",IF(D37=A37,"Fehler: Zuleitung von sich selbst",IF(ISNA(MATCH(D37,Anlagen!$A$5:$A$92,0)),"Fehler: Zuleitung unbekannt",IF(INDEX($C$5:$C$92,MATCH(D37,Anlagen!$A$5:$A$92,0))&lt;&gt;C37,"Fehler: Zuleitung hängt an anderem Standort","OK"))))))</f>
        <v>OK</v>
      </c>
      <c r="Q37" s="23" t="str">
        <f aca="false">Anlagen!AA37</f>
        <v>FOHRD</v>
      </c>
      <c r="R37" s="23" t="n">
        <f aca="false">IF(Anlagen!AB37&lt;&gt;"",Anlagen!AB37,COUNTIFS($C$5:$C$92,C37,$J$5:$J$92,"&lt;"&amp;J37)+1)</f>
        <v>1</v>
      </c>
      <c r="S37" s="23" t="n">
        <f aca="false">1000+200*(R37-1)+1</f>
        <v>1001</v>
      </c>
      <c r="T37" s="23" t="n">
        <f aca="false">1000+200*(R37-1)+Anlagen!F37</f>
        <v>1127</v>
      </c>
      <c r="U37" s="23" t="n">
        <f aca="false">100+A37</f>
        <v>133</v>
      </c>
      <c r="V37" s="23" t="n">
        <f aca="false">200+A37</f>
        <v>233</v>
      </c>
      <c r="W37" s="23" t="n">
        <f aca="false">300+A37</f>
        <v>333</v>
      </c>
      <c r="X37" s="23" t="str">
        <f aca="false">"10."&amp;A37&amp;".1.0/24"</f>
        <v>10.33.1.0/24</v>
      </c>
      <c r="Y37" s="23" t="str">
        <f aca="false">IF(R37&gt;15,"Fehler: VLAN-Block über 15",IF(COUNTIFS($C$5:$C$92,C37,$R$5:$R$92,R37)&gt;1,"Fehler: VLAN-Block am Standort doppelt",IF(COUNTIF($Q$5:$Q$92,Q37)&gt;1,"Fehler: Kürzel doppelt",IF(Anlagen!F37&gt;199,"Fehler: mehr als 199 Parzellen","OK"))))</f>
        <v>OK</v>
      </c>
    </row>
    <row r="38" customFormat="false" ht="15" hidden="false" customHeight="false" outlineLevel="0" collapsed="false">
      <c r="A38" s="23" t="n">
        <f aca="false">Anlagen!A38</f>
        <v>34</v>
      </c>
      <c r="B38" s="23" t="str">
        <f aca="false">Anlagen!B38</f>
        <v>Freiheit</v>
      </c>
      <c r="C38" s="23" t="n">
        <f aca="false">IF(Anlagen!S38&lt;&gt;"",Anlagen!S38,IF(Vorschlag_nutzen=1,Anlagen!Q38,A38))</f>
        <v>49</v>
      </c>
      <c r="D38" s="23" t="n">
        <f aca="false">IF(C38=A38,"",IF(Anlagen!T38&lt;&gt;"",Anlagen!T38,IF(AND(Anlagen!S38="",Vorschlag_nutzen=1,Anlagen!R38&lt;&gt;""),Anlagen!R38,C38)))</f>
        <v>64</v>
      </c>
      <c r="E38" s="23" t="str">
        <f aca="false">IF(C38=A38,IF(COUNTIF($C$5:$C$92,A38)&gt;1,"Gateway-Standort","eigenständig"),"über "&amp;IFERROR(INDEX(Anlagen!$B$5:$B$92,MATCH(D38,Anlagen!$A$5:$A$92,0)),"?"))</f>
        <v>über Neues Leben</v>
      </c>
      <c r="F38" s="36" t="n">
        <f aca="false">IF(C38=A38,0,IF(Anlagen!V38&lt;&gt;"",Anlagen!V38/1000,IFERROR(SQRT((Anlagen!N38-INDEX(Anlagen!$N$5:$N$92,MATCH(D38,Anlagen!$A$5:$A$92,0)))^2+(Anlagen!O38-INDEX(Anlagen!$O$5:$O$92,MATCH(D38,Anlagen!$A$5:$A$92,0)))^2),0)))</f>
        <v>0.902108640907513</v>
      </c>
      <c r="G38" s="37" t="n">
        <f aca="false">IF(C38=A38,0,IF(Anlagen!V38&lt;&gt;"",Anlagen!V38,F38*1000*Umweg))</f>
        <v>1172.74123317977</v>
      </c>
      <c r="H38" s="38" t="n">
        <f aca="false">IF(C38=A38,0,(G38*(P_Faser+P_Tiefbau)+2*P_SFP+P_MontZul)*EK)</f>
        <v>2323.96510122588</v>
      </c>
      <c r="I38" s="38" t="n">
        <f aca="false">IF(C38=A38,0,(P_Saeule+P_Flex+P_NT+P_Halter+P_Luefter+P_Spleiss+P_Ueber)*EK)</f>
        <v>851.326</v>
      </c>
      <c r="J38" s="23" t="n">
        <f aca="false">IF(Anlagen!U38&lt;&gt;"",Anlagen!U38,IF(C38=A38,500,1000)+ROW())</f>
        <v>1038</v>
      </c>
      <c r="K38" s="37" t="n">
        <f aca="false">SUMIFS(Anlagen!$F$5:$F$92,$C$5:$C$92,C38,$J$5:$J$92,"&lt;"&amp;J38)</f>
        <v>192</v>
      </c>
      <c r="L38" s="23" t="n">
        <f aca="false">INT(K38/PG)+1</f>
        <v>4</v>
      </c>
      <c r="M38" s="23" t="n">
        <f aca="false">MAX(L38,CEILING((K38+Anlagen!F38)/PG,1))</f>
        <v>5</v>
      </c>
      <c r="N38" s="23" t="str">
        <f aca="false">IFERROR(INDEX(Anlagen!$B$5:$B$92,MATCH(C38,Anlagen!$A$5:$A$92,0)),"?")&amp;": GW "&amp;L38&amp;IF(M38&gt;L38,"–"&amp;M38,"")</f>
        <v>Helgoland: GW 4–5</v>
      </c>
      <c r="O38" s="31" t="n">
        <f aca="false">Buchungsquote!V38</f>
        <v>28.7242741935484</v>
      </c>
      <c r="P38" s="23" t="str">
        <f aca="false">IF(ISNA(MATCH(C38,Anlagen!$A$5:$A$92,0)),"Fehler: Standort unbekannt",IF(C38=A38,"OK",IF(INDEX($C$5:$C$92,MATCH(C38,Anlagen!$A$5:$A$92,0))&lt;&gt;C38,"Fehler: Standort hängt selbst an anderem Standort",IF(D38=A38,"Fehler: Zuleitung von sich selbst",IF(ISNA(MATCH(D38,Anlagen!$A$5:$A$92,0)),"Fehler: Zuleitung unbekannt",IF(INDEX($C$5:$C$92,MATCH(D38,Anlagen!$A$5:$A$92,0))&lt;&gt;C38,"Fehler: Zuleitung hängt an anderem Standort","OK"))))))</f>
        <v>OK</v>
      </c>
      <c r="Q38" s="23" t="str">
        <f aca="false">Anlagen!AA38</f>
        <v>FREIH</v>
      </c>
      <c r="R38" s="23" t="n">
        <f aca="false">IF(Anlagen!AB38&lt;&gt;"",Anlagen!AB38,COUNTIFS($C$5:$C$92,C38,$J$5:$J$92,"&lt;"&amp;J38)+1)</f>
        <v>4</v>
      </c>
      <c r="S38" s="23" t="n">
        <f aca="false">1000+200*(R38-1)+1</f>
        <v>1601</v>
      </c>
      <c r="T38" s="23" t="n">
        <f aca="false">1000+200*(R38-1)+Anlagen!F38</f>
        <v>1655</v>
      </c>
      <c r="U38" s="23" t="n">
        <f aca="false">100+A38</f>
        <v>134</v>
      </c>
      <c r="V38" s="23" t="n">
        <f aca="false">200+A38</f>
        <v>234</v>
      </c>
      <c r="W38" s="23" t="n">
        <f aca="false">300+A38</f>
        <v>334</v>
      </c>
      <c r="X38" s="23" t="str">
        <f aca="false">"10."&amp;A38&amp;".1.0/24"</f>
        <v>10.34.1.0/24</v>
      </c>
      <c r="Y38" s="23" t="str">
        <f aca="false">IF(R38&gt;15,"Fehler: VLAN-Block über 15",IF(COUNTIFS($C$5:$C$92,C38,$R$5:$R$92,R38)&gt;1,"Fehler: VLAN-Block am Standort doppelt",IF(COUNTIF($Q$5:$Q$92,Q38)&gt;1,"Fehler: Kürzel doppelt",IF(Anlagen!F38&gt;199,"Fehler: mehr als 199 Parzellen","OK"))))</f>
        <v>OK</v>
      </c>
    </row>
    <row r="39" customFormat="false" ht="15" hidden="false" customHeight="false" outlineLevel="0" collapsed="false">
      <c r="A39" s="23" t="n">
        <f aca="false">Anlagen!A39</f>
        <v>35</v>
      </c>
      <c r="B39" s="23" t="str">
        <f aca="false">Anlagen!B39</f>
        <v>Freizeit</v>
      </c>
      <c r="C39" s="23" t="n">
        <f aca="false">IF(Anlagen!S39&lt;&gt;"",Anlagen!S39,IF(Vorschlag_nutzen=1,Anlagen!Q39,A39))</f>
        <v>41</v>
      </c>
      <c r="D39" s="23" t="n">
        <f aca="false">IF(C39=A39,"",IF(Anlagen!T39&lt;&gt;"",Anlagen!T39,IF(AND(Anlagen!S39="",Vorschlag_nutzen=1,Anlagen!R39&lt;&gt;""),Anlagen!R39,C39)))</f>
        <v>2</v>
      </c>
      <c r="E39" s="23" t="str">
        <f aca="false">IF(C39=A39,IF(COUNTIF($C$5:$C$92,A39)&gt;1,"Gateway-Standort","eigenständig"),"über "&amp;IFERROR(INDEX(Anlagen!$B$5:$B$92,MATCH(D39,Anlagen!$A$5:$A$92,0)),"?"))</f>
        <v>über Abendfrieden</v>
      </c>
      <c r="F39" s="36" t="n">
        <f aca="false">IF(C39=A39,0,IF(Anlagen!V39&lt;&gt;"",Anlagen!V39/1000,IFERROR(SQRT((Anlagen!N39-INDEX(Anlagen!$N$5:$N$92,MATCH(D39,Anlagen!$A$5:$A$92,0)))^2+(Anlagen!O39-INDEX(Anlagen!$O$5:$O$92,MATCH(D39,Anlagen!$A$5:$A$92,0)))^2),0)))</f>
        <v>0.261725046566048</v>
      </c>
      <c r="G39" s="37" t="n">
        <f aca="false">IF(C39=A39,0,IF(Anlagen!V39&lt;&gt;"",Anlagen!V39,F39*1000*Umweg))</f>
        <v>340.242560535862</v>
      </c>
      <c r="H39" s="38" t="n">
        <f aca="false">IF(C39=A39,0,(G39*(P_Faser+P_Tiefbau)+2*P_SFP+P_MontZul)*EK)</f>
        <v>837.954970556514</v>
      </c>
      <c r="I39" s="38" t="n">
        <f aca="false">IF(C39=A39,0,(P_Saeule+P_Flex+P_NT+P_Halter+P_Luefter+P_Spleiss+P_Ueber)*EK)</f>
        <v>851.326</v>
      </c>
      <c r="J39" s="23" t="n">
        <f aca="false">IF(Anlagen!U39&lt;&gt;"",Anlagen!U39,IF(C39=A39,500,1000)+ROW())</f>
        <v>1039</v>
      </c>
      <c r="K39" s="37" t="n">
        <f aca="false">SUMIFS(Anlagen!$F$5:$F$92,$C$5:$C$92,C39,$J$5:$J$92,"&lt;"&amp;J39)</f>
        <v>368</v>
      </c>
      <c r="L39" s="23" t="n">
        <f aca="false">INT(K39/PG)+1</f>
        <v>7</v>
      </c>
      <c r="M39" s="23" t="n">
        <f aca="false">MAX(L39,CEILING((K39+Anlagen!F39)/PG,1))</f>
        <v>8</v>
      </c>
      <c r="N39" s="23" t="str">
        <f aca="false">IFERROR(INDEX(Anlagen!$B$5:$B$92,MATCH(C39,Anlagen!$A$5:$A$92,0)),"?")&amp;": GW "&amp;L39&amp;IF(M39&gt;L39,"–"&amp;M39,"")</f>
        <v>Glück im Winkel: GW 7–8</v>
      </c>
      <c r="O39" s="31" t="n">
        <f aca="false">Buchungsquote!V39</f>
        <v>35.6693481276006</v>
      </c>
      <c r="P39" s="23" t="str">
        <f aca="false">IF(ISNA(MATCH(C39,Anlagen!$A$5:$A$92,0)),"Fehler: Standort unbekannt",IF(C39=A39,"OK",IF(INDEX($C$5:$C$92,MATCH(C39,Anlagen!$A$5:$A$92,0))&lt;&gt;C39,"Fehler: Standort hängt selbst an anderem Standort",IF(D39=A39,"Fehler: Zuleitung von sich selbst",IF(ISNA(MATCH(D39,Anlagen!$A$5:$A$92,0)),"Fehler: Zuleitung unbekannt",IF(INDEX($C$5:$C$92,MATCH(D39,Anlagen!$A$5:$A$92,0))&lt;&gt;C39,"Fehler: Zuleitung hängt an anderem Standort","OK"))))))</f>
        <v>OK</v>
      </c>
      <c r="Q39" s="23" t="str">
        <f aca="false">Anlagen!AA39</f>
        <v>FREIZ</v>
      </c>
      <c r="R39" s="23" t="n">
        <f aca="false">IF(Anlagen!AB39&lt;&gt;"",Anlagen!AB39,COUNTIFS($C$5:$C$92,C39,$J$5:$J$92,"&lt;"&amp;J39)+1)</f>
        <v>5</v>
      </c>
      <c r="S39" s="23" t="n">
        <f aca="false">1000+200*(R39-1)+1</f>
        <v>1801</v>
      </c>
      <c r="T39" s="23" t="n">
        <f aca="false">1000+200*(R39-1)+Anlagen!F39</f>
        <v>1863</v>
      </c>
      <c r="U39" s="23" t="n">
        <f aca="false">100+A39</f>
        <v>135</v>
      </c>
      <c r="V39" s="23" t="n">
        <f aca="false">200+A39</f>
        <v>235</v>
      </c>
      <c r="W39" s="23" t="n">
        <f aca="false">300+A39</f>
        <v>335</v>
      </c>
      <c r="X39" s="23" t="str">
        <f aca="false">"10."&amp;A39&amp;".1.0/24"</f>
        <v>10.35.1.0/24</v>
      </c>
      <c r="Y39" s="23" t="str">
        <f aca="false">IF(R39&gt;15,"Fehler: VLAN-Block über 15",IF(COUNTIFS($C$5:$C$92,C39,$R$5:$R$92,R39)&gt;1,"Fehler: VLAN-Block am Standort doppelt",IF(COUNTIF($Q$5:$Q$92,Q39)&gt;1,"Fehler: Kürzel doppelt",IF(Anlagen!F39&gt;199,"Fehler: mehr als 199 Parzellen","OK"))))</f>
        <v>OK</v>
      </c>
    </row>
    <row r="40" customFormat="false" ht="15" hidden="false" customHeight="false" outlineLevel="0" collapsed="false">
      <c r="A40" s="23" t="n">
        <f aca="false">Anlagen!A40</f>
        <v>36</v>
      </c>
      <c r="B40" s="23" t="str">
        <f aca="false">Anlagen!B40</f>
        <v>Friedland</v>
      </c>
      <c r="C40" s="23" t="n">
        <f aca="false">IF(Anlagen!S40&lt;&gt;"",Anlagen!S40,IF(Vorschlag_nutzen=1,Anlagen!Q40,A40))</f>
        <v>23</v>
      </c>
      <c r="D40" s="23" t="n">
        <f aca="false">IF(C40=A40,"",IF(Anlagen!T40&lt;&gt;"",Anlagen!T40,IF(AND(Anlagen!S40="",Vorschlag_nutzen=1,Anlagen!R40&lt;&gt;""),Anlagen!R40,C40)))</f>
        <v>24</v>
      </c>
      <c r="E40" s="23" t="str">
        <f aca="false">IF(C40=A40,IF(COUNTIF($C$5:$C$92,A40)&gt;1,"Gateway-Standort","eigenständig"),"über "&amp;IFERROR(INDEX(Anlagen!$B$5:$B$92,MATCH(D40,Anlagen!$A$5:$A$92,0)),"?"))</f>
        <v>über Einheit</v>
      </c>
      <c r="F40" s="36" t="n">
        <f aca="false">IF(C40=A40,0,IF(Anlagen!V40&lt;&gt;"",Anlagen!V40/1000,IFERROR(SQRT((Anlagen!N40-INDEX(Anlagen!$N$5:$N$92,MATCH(D40,Anlagen!$A$5:$A$92,0)))^2+(Anlagen!O40-INDEX(Anlagen!$O$5:$O$92,MATCH(D40,Anlagen!$A$5:$A$92,0)))^2),0)))</f>
        <v>0.746324326281811</v>
      </c>
      <c r="G40" s="37" t="n">
        <f aca="false">IF(C40=A40,0,IF(Anlagen!V40&lt;&gt;"",Anlagen!V40,F40*1000*Umweg))</f>
        <v>970.221624166354</v>
      </c>
      <c r="H40" s="38" t="n">
        <f aca="false">IF(C40=A40,0,(G40*(P_Faser+P_Tiefbau)+2*P_SFP+P_MontZul)*EK)</f>
        <v>1962.46759913694</v>
      </c>
      <c r="I40" s="38" t="n">
        <f aca="false">IF(C40=A40,0,(P_Saeule+P_Flex+P_NT+P_Halter+P_Luefter+P_Spleiss+P_Ueber)*EK)</f>
        <v>851.326</v>
      </c>
      <c r="J40" s="23" t="n">
        <f aca="false">IF(Anlagen!U40&lt;&gt;"",Anlagen!U40,IF(C40=A40,500,1000)+ROW())</f>
        <v>1040</v>
      </c>
      <c r="K40" s="37" t="n">
        <f aca="false">SUMIFS(Anlagen!$F$5:$F$92,$C$5:$C$92,C40,$J$5:$J$92,"&lt;"&amp;J40)</f>
        <v>321</v>
      </c>
      <c r="L40" s="23" t="n">
        <f aca="false">INT(K40/PG)+1</f>
        <v>6</v>
      </c>
      <c r="M40" s="23" t="n">
        <f aca="false">MAX(L40,CEILING((K40+Anlagen!F40)/PG,1))</f>
        <v>7</v>
      </c>
      <c r="N40" s="23" t="str">
        <f aca="false">IFERROR(INDEX(Anlagen!$B$5:$B$92,MATCH(C40,Anlagen!$A$5:$A$92,0)),"?")&amp;": GW "&amp;L40&amp;IF(M40&gt;L40,"–"&amp;M40,"")</f>
        <v>Eigener Fleiß: GW 6–7</v>
      </c>
      <c r="O40" s="31" t="n">
        <f aca="false">Buchungsquote!V40</f>
        <v>36.8449681528662</v>
      </c>
      <c r="P40" s="23" t="str">
        <f aca="false">IF(ISNA(MATCH(C40,Anlagen!$A$5:$A$92,0)),"Fehler: Standort unbekannt",IF(C40=A40,"OK",IF(INDEX($C$5:$C$92,MATCH(C40,Anlagen!$A$5:$A$92,0))&lt;&gt;C40,"Fehler: Standort hängt selbst an anderem Standort",IF(D40=A40,"Fehler: Zuleitung von sich selbst",IF(ISNA(MATCH(D40,Anlagen!$A$5:$A$92,0)),"Fehler: Zuleitung unbekannt",IF(INDEX($C$5:$C$92,MATCH(D40,Anlagen!$A$5:$A$92,0))&lt;&gt;C40,"Fehler: Zuleitung hängt an anderem Standort","OK"))))))</f>
        <v>OK</v>
      </c>
      <c r="Q40" s="23" t="str">
        <f aca="false">Anlagen!AA40</f>
        <v>FRIED</v>
      </c>
      <c r="R40" s="23" t="n">
        <f aca="false">IF(Anlagen!AB40&lt;&gt;"",Anlagen!AB40,COUNTIFS($C$5:$C$92,C40,$J$5:$J$92,"&lt;"&amp;J40)+1)</f>
        <v>5</v>
      </c>
      <c r="S40" s="23" t="n">
        <f aca="false">1000+200*(R40-1)+1</f>
        <v>1801</v>
      </c>
      <c r="T40" s="23" t="n">
        <f aca="false">1000+200*(R40-1)+Anlagen!F40</f>
        <v>1864</v>
      </c>
      <c r="U40" s="23" t="n">
        <f aca="false">100+A40</f>
        <v>136</v>
      </c>
      <c r="V40" s="23" t="n">
        <f aca="false">200+A40</f>
        <v>236</v>
      </c>
      <c r="W40" s="23" t="n">
        <f aca="false">300+A40</f>
        <v>336</v>
      </c>
      <c r="X40" s="23" t="str">
        <f aca="false">"10."&amp;A40&amp;".1.0/24"</f>
        <v>10.36.1.0/24</v>
      </c>
      <c r="Y40" s="23" t="str">
        <f aca="false">IF(R40&gt;15,"Fehler: VLAN-Block über 15",IF(COUNTIFS($C$5:$C$92,C40,$R$5:$R$92,R40)&gt;1,"Fehler: VLAN-Block am Standort doppelt",IF(COUNTIF($Q$5:$Q$92,Q40)&gt;1,"Fehler: Kürzel doppelt",IF(Anlagen!F40&gt;199,"Fehler: mehr als 199 Parzellen","OK"))))</f>
        <v>OK</v>
      </c>
    </row>
    <row r="41" customFormat="false" ht="15" hidden="false" customHeight="false" outlineLevel="0" collapsed="false">
      <c r="A41" s="23" t="n">
        <f aca="false">Anlagen!A41</f>
        <v>37</v>
      </c>
      <c r="B41" s="23" t="str">
        <f aca="false">Anlagen!B41</f>
        <v>Frisch Auf</v>
      </c>
      <c r="C41" s="23" t="n">
        <f aca="false">IF(Anlagen!S41&lt;&gt;"",Anlagen!S41,IF(Vorschlag_nutzen=1,Anlagen!Q41,A41))</f>
        <v>56</v>
      </c>
      <c r="D41" s="23" t="n">
        <f aca="false">IF(C41=A41,"",IF(Anlagen!T41&lt;&gt;"",Anlagen!T41,IF(AND(Anlagen!S41="",Vorschlag_nutzen=1,Anlagen!R41&lt;&gt;""),Anlagen!R41,C41)))</f>
        <v>56</v>
      </c>
      <c r="E41" s="23" t="str">
        <f aca="false">IF(C41=A41,IF(COUNTIF($C$5:$C$92,A41)&gt;1,"Gateway-Standort","eigenständig"),"über "&amp;IFERROR(INDEX(Anlagen!$B$5:$B$92,MATCH(D41,Anlagen!$A$5:$A$92,0)),"?"))</f>
        <v>über Kammgarn</v>
      </c>
      <c r="F41" s="36" t="n">
        <f aca="false">IF(C41=A41,0,IF(Anlagen!V41&lt;&gt;"",Anlagen!V41/1000,IFERROR(SQRT((Anlagen!N41-INDEX(Anlagen!$N$5:$N$92,MATCH(D41,Anlagen!$A$5:$A$92,0)))^2+(Anlagen!O41-INDEX(Anlagen!$O$5:$O$92,MATCH(D41,Anlagen!$A$5:$A$92,0)))^2),0)))</f>
        <v>0.380525951808808</v>
      </c>
      <c r="G41" s="37" t="n">
        <f aca="false">IF(C41=A41,0,IF(Anlagen!V41&lt;&gt;"",Anlagen!V41,F41*1000*Umweg))</f>
        <v>494.68373735145</v>
      </c>
      <c r="H41" s="38" t="n">
        <f aca="false">IF(C41=A41,0,(G41*(P_Faser+P_Tiefbau)+2*P_SFP+P_MontZul)*EK)</f>
        <v>1113.63247117234</v>
      </c>
      <c r="I41" s="38" t="n">
        <f aca="false">IF(C41=A41,0,(P_Saeule+P_Flex+P_NT+P_Halter+P_Luefter+P_Spleiss+P_Ueber)*EK)</f>
        <v>851.326</v>
      </c>
      <c r="J41" s="23" t="n">
        <f aca="false">IF(Anlagen!U41&lt;&gt;"",Anlagen!U41,IF(C41=A41,500,1000)+ROW())</f>
        <v>1041</v>
      </c>
      <c r="K41" s="37" t="n">
        <f aca="false">SUMIFS(Anlagen!$F$5:$F$92,$C$5:$C$92,C41,$J$5:$J$92,"&lt;"&amp;J41)</f>
        <v>42</v>
      </c>
      <c r="L41" s="23" t="n">
        <f aca="false">INT(K41/PG)+1</f>
        <v>1</v>
      </c>
      <c r="M41" s="23" t="n">
        <f aca="false">MAX(L41,CEILING((K41+Anlagen!F41)/PG,1))</f>
        <v>2</v>
      </c>
      <c r="N41" s="23" t="str">
        <f aca="false">IFERROR(INDEX(Anlagen!$B$5:$B$92,MATCH(C41,Anlagen!$A$5:$A$92,0)),"?")&amp;": GW "&amp;L41&amp;IF(M41&gt;L41,"–"&amp;M41,"")</f>
        <v>Kammgarn: GW 1–2</v>
      </c>
      <c r="O41" s="31" t="n">
        <f aca="false">Buchungsquote!V41</f>
        <v>10.2257142857143</v>
      </c>
      <c r="P41" s="23" t="str">
        <f aca="false">IF(ISNA(MATCH(C41,Anlagen!$A$5:$A$92,0)),"Fehler: Standort unbekannt",IF(C41=A41,"OK",IF(INDEX($C$5:$C$92,MATCH(C41,Anlagen!$A$5:$A$92,0))&lt;&gt;C41,"Fehler: Standort hängt selbst an anderem Standort",IF(D41=A41,"Fehler: Zuleitung von sich selbst",IF(ISNA(MATCH(D41,Anlagen!$A$5:$A$92,0)),"Fehler: Zuleitung unbekannt",IF(INDEX($C$5:$C$92,MATCH(D41,Anlagen!$A$5:$A$92,0))&lt;&gt;C41,"Fehler: Zuleitung hängt an anderem Standort","OK"))))))</f>
        <v>OK</v>
      </c>
      <c r="Q41" s="23" t="str">
        <f aca="false">Anlagen!AA41</f>
        <v>FRISA</v>
      </c>
      <c r="R41" s="23" t="n">
        <f aca="false">IF(Anlagen!AB41&lt;&gt;"",Anlagen!AB41,COUNTIFS($C$5:$C$92,C41,$J$5:$J$92,"&lt;"&amp;J41)+1)</f>
        <v>3</v>
      </c>
      <c r="S41" s="23" t="n">
        <f aca="false">1000+200*(R41-1)+1</f>
        <v>1401</v>
      </c>
      <c r="T41" s="23" t="n">
        <f aca="false">1000+200*(R41-1)+Anlagen!F41</f>
        <v>1419</v>
      </c>
      <c r="U41" s="23" t="n">
        <f aca="false">100+A41</f>
        <v>137</v>
      </c>
      <c r="V41" s="23" t="n">
        <f aca="false">200+A41</f>
        <v>237</v>
      </c>
      <c r="W41" s="23" t="n">
        <f aca="false">300+A41</f>
        <v>337</v>
      </c>
      <c r="X41" s="23" t="str">
        <f aca="false">"10."&amp;A41&amp;".1.0/24"</f>
        <v>10.37.1.0/24</v>
      </c>
      <c r="Y41" s="23" t="str">
        <f aca="false">IF(R41&gt;15,"Fehler: VLAN-Block über 15",IF(COUNTIFS($C$5:$C$92,C41,$R$5:$R$92,R41)&gt;1,"Fehler: VLAN-Block am Standort doppelt",IF(COUNTIF($Q$5:$Q$92,Q41)&gt;1,"Fehler: Kürzel doppelt",IF(Anlagen!F41&gt;199,"Fehler: mehr als 199 Parzellen","OK"))))</f>
        <v>OK</v>
      </c>
    </row>
    <row r="42" customFormat="false" ht="15" hidden="false" customHeight="false" outlineLevel="0" collapsed="false">
      <c r="A42" s="23" t="n">
        <f aca="false">Anlagen!A42</f>
        <v>38</v>
      </c>
      <c r="B42" s="23" t="str">
        <f aca="false">Anlagen!B42</f>
        <v>Frohsinn</v>
      </c>
      <c r="C42" s="23" t="n">
        <f aca="false">IF(Anlagen!S42&lt;&gt;"",Anlagen!S42,IF(Vorschlag_nutzen=1,Anlagen!Q42,A42))</f>
        <v>17</v>
      </c>
      <c r="D42" s="23" t="n">
        <f aca="false">IF(C42=A42,"",IF(Anlagen!T42&lt;&gt;"",Anlagen!T42,IF(AND(Anlagen!S42="",Vorschlag_nutzen=1,Anlagen!R42&lt;&gt;""),Anlagen!R42,C42)))</f>
        <v>9</v>
      </c>
      <c r="E42" s="23" t="str">
        <f aca="false">IF(C42=A42,IF(COUNTIF($C$5:$C$92,A42)&gt;1,"Gateway-Standort","eigenständig"),"über "&amp;IFERROR(INDEX(Anlagen!$B$5:$B$92,MATCH(D42,Anlagen!$A$5:$A$92,0)),"?"))</f>
        <v>über Am Eichenweg</v>
      </c>
      <c r="F42" s="36" t="n">
        <f aca="false">IF(C42=A42,0,IF(Anlagen!V42&lt;&gt;"",Anlagen!V42/1000,IFERROR(SQRT((Anlagen!N42-INDEX(Anlagen!$N$5:$N$92,MATCH(D42,Anlagen!$A$5:$A$92,0)))^2+(Anlagen!O42-INDEX(Anlagen!$O$5:$O$92,MATCH(D42,Anlagen!$A$5:$A$92,0)))^2),0)))</f>
        <v>0.768374908491942</v>
      </c>
      <c r="G42" s="37" t="n">
        <f aca="false">IF(C42=A42,0,IF(Anlagen!V42&lt;&gt;"",Anlagen!V42,F42*1000*Umweg))</f>
        <v>998.887381039525</v>
      </c>
      <c r="H42" s="38" t="n">
        <f aca="false">IF(C42=A42,0,(G42*(P_Faser+P_Tiefbau)+2*P_SFP+P_MontZul)*EK)</f>
        <v>2013.63597515555</v>
      </c>
      <c r="I42" s="38" t="n">
        <f aca="false">IF(C42=A42,0,(P_Saeule+P_Flex+P_NT+P_Halter+P_Luefter+P_Spleiss+P_Ueber)*EK)</f>
        <v>851.326</v>
      </c>
      <c r="J42" s="23" t="n">
        <f aca="false">IF(Anlagen!U42&lt;&gt;"",Anlagen!U42,IF(C42=A42,500,1000)+ROW())</f>
        <v>1042</v>
      </c>
      <c r="K42" s="37" t="n">
        <f aca="false">SUMIFS(Anlagen!$F$5:$F$92,$C$5:$C$92,C42,$J$5:$J$92,"&lt;"&amp;J42)</f>
        <v>193</v>
      </c>
      <c r="L42" s="23" t="n">
        <f aca="false">INT(K42/PG)+1</f>
        <v>4</v>
      </c>
      <c r="M42" s="23" t="n">
        <f aca="false">MAX(L42,CEILING((K42+Anlagen!F42)/PG,1))</f>
        <v>5</v>
      </c>
      <c r="N42" s="23" t="str">
        <f aca="false">IFERROR(INDEX(Anlagen!$B$5:$B$92,MATCH(C42,Anlagen!$A$5:$A$92,0)),"?")&amp;": GW "&amp;L42&amp;IF(M42&gt;L42,"–"&amp;M42,"")</f>
        <v>Birkenwäldchen: GW 4–5</v>
      </c>
      <c r="O42" s="31" t="n">
        <f aca="false">Buchungsquote!V42</f>
        <v>27.8908071428571</v>
      </c>
      <c r="P42" s="23" t="str">
        <f aca="false">IF(ISNA(MATCH(C42,Anlagen!$A$5:$A$92,0)),"Fehler: Standort unbekannt",IF(C42=A42,"OK",IF(INDEX($C$5:$C$92,MATCH(C42,Anlagen!$A$5:$A$92,0))&lt;&gt;C42,"Fehler: Standort hängt selbst an anderem Standort",IF(D42=A42,"Fehler: Zuleitung von sich selbst",IF(ISNA(MATCH(D42,Anlagen!$A$5:$A$92,0)),"Fehler: Zuleitung unbekannt",IF(INDEX($C$5:$C$92,MATCH(D42,Anlagen!$A$5:$A$92,0))&lt;&gt;C42,"Fehler: Zuleitung hängt an anderem Standort","OK"))))))</f>
        <v>OK</v>
      </c>
      <c r="Q42" s="23" t="str">
        <f aca="false">Anlagen!AA42</f>
        <v>FROH</v>
      </c>
      <c r="R42" s="23" t="n">
        <f aca="false">IF(Anlagen!AB42&lt;&gt;"",Anlagen!AB42,COUNTIFS($C$5:$C$92,C42,$J$5:$J$92,"&lt;"&amp;J42)+1)</f>
        <v>5</v>
      </c>
      <c r="S42" s="23" t="n">
        <f aca="false">1000+200*(R42-1)+1</f>
        <v>1801</v>
      </c>
      <c r="T42" s="23" t="n">
        <f aca="false">1000+200*(R42-1)+Anlagen!F42</f>
        <v>1854</v>
      </c>
      <c r="U42" s="23" t="n">
        <f aca="false">100+A42</f>
        <v>138</v>
      </c>
      <c r="V42" s="23" t="n">
        <f aca="false">200+A42</f>
        <v>238</v>
      </c>
      <c r="W42" s="23" t="n">
        <f aca="false">300+A42</f>
        <v>338</v>
      </c>
      <c r="X42" s="23" t="str">
        <f aca="false">"10."&amp;A42&amp;".1.0/24"</f>
        <v>10.38.1.0/24</v>
      </c>
      <c r="Y42" s="23" t="str">
        <f aca="false">IF(R42&gt;15,"Fehler: VLAN-Block über 15",IF(COUNTIFS($C$5:$C$92,C42,$R$5:$R$92,R42)&gt;1,"Fehler: VLAN-Block am Standort doppelt",IF(COUNTIF($Q$5:$Q$92,Q42)&gt;1,"Fehler: Kürzel doppelt",IF(Anlagen!F42&gt;199,"Fehler: mehr als 199 Parzellen","OK"))))</f>
        <v>OK</v>
      </c>
    </row>
    <row r="43" customFormat="false" ht="15" hidden="false" customHeight="false" outlineLevel="0" collapsed="false">
      <c r="A43" s="23" t="n">
        <f aca="false">Anlagen!A43</f>
        <v>39</v>
      </c>
      <c r="B43" s="23" t="str">
        <f aca="false">Anlagen!B43</f>
        <v>Gartenfreunde Brielower Aue</v>
      </c>
      <c r="C43" s="23" t="n">
        <f aca="false">IF(Anlagen!S43&lt;&gt;"",Anlagen!S43,IF(Vorschlag_nutzen=1,Anlagen!Q43,A43))</f>
        <v>33</v>
      </c>
      <c r="D43" s="23" t="n">
        <f aca="false">IF(C43=A43,"",IF(Anlagen!T43&lt;&gt;"",Anlagen!T43,IF(AND(Anlagen!S43="",Vorschlag_nutzen=1,Anlagen!R43&lt;&gt;""),Anlagen!R43,C43)))</f>
        <v>33</v>
      </c>
      <c r="E43" s="23" t="str">
        <f aca="false">IF(C43=A43,IF(COUNTIF($C$5:$C$92,A43)&gt;1,"Gateway-Standort","eigenständig"),"über "&amp;IFERROR(INDEX(Anlagen!$B$5:$B$92,MATCH(D43,Anlagen!$A$5:$A$92,0)),"?"))</f>
        <v>über Fohrder Landstraße</v>
      </c>
      <c r="F43" s="36" t="n">
        <f aca="false">IF(C43=A43,0,IF(Anlagen!V43&lt;&gt;"",Anlagen!V43/1000,IFERROR(SQRT((Anlagen!N43-INDEX(Anlagen!$N$5:$N$92,MATCH(D43,Anlagen!$A$5:$A$92,0)))^2+(Anlagen!O43-INDEX(Anlagen!$O$5:$O$92,MATCH(D43,Anlagen!$A$5:$A$92,0)))^2),0)))</f>
        <v>1.05773342577419</v>
      </c>
      <c r="G43" s="37" t="n">
        <f aca="false">IF(C43=A43,0,IF(Anlagen!V43&lt;&gt;"",Anlagen!V43,F43*1000*Umweg))</f>
        <v>1375.05345350644</v>
      </c>
      <c r="H43" s="38" t="n">
        <f aca="false">IF(C43=A43,0,(G43*(P_Faser+P_Tiefbau)+2*P_SFP+P_MontZul)*EK)</f>
        <v>2685.092414509</v>
      </c>
      <c r="I43" s="38" t="n">
        <f aca="false">IF(C43=A43,0,(P_Saeule+P_Flex+P_NT+P_Halter+P_Luefter+P_Spleiss+P_Ueber)*EK)</f>
        <v>851.326</v>
      </c>
      <c r="J43" s="23" t="n">
        <f aca="false">IF(Anlagen!U43&lt;&gt;"",Anlagen!U43,IF(C43=A43,500,1000)+ROW())</f>
        <v>1043</v>
      </c>
      <c r="K43" s="37" t="n">
        <f aca="false">SUMIFS(Anlagen!$F$5:$F$92,$C$5:$C$92,C43,$J$5:$J$92,"&lt;"&amp;J43)</f>
        <v>445</v>
      </c>
      <c r="L43" s="23" t="n">
        <f aca="false">INT(K43/PG)+1</f>
        <v>9</v>
      </c>
      <c r="M43" s="23" t="n">
        <f aca="false">MAX(L43,CEILING((K43+Anlagen!F43)/PG,1))</f>
        <v>10</v>
      </c>
      <c r="N43" s="23" t="str">
        <f aca="false">IFERROR(INDEX(Anlagen!$B$5:$B$92,MATCH(C43,Anlagen!$A$5:$A$92,0)),"?")&amp;": GW "&amp;L43&amp;IF(M43&gt;L43,"–"&amp;M43,"")</f>
        <v>Fohrder Landstraße: GW 9–10</v>
      </c>
      <c r="O43" s="31" t="n">
        <f aca="false">Buchungsquote!V43</f>
        <v>41.8242677824268</v>
      </c>
      <c r="P43" s="23" t="str">
        <f aca="false">IF(ISNA(MATCH(C43,Anlagen!$A$5:$A$92,0)),"Fehler: Standort unbekannt",IF(C43=A43,"OK",IF(INDEX($C$5:$C$92,MATCH(C43,Anlagen!$A$5:$A$92,0))&lt;&gt;C43,"Fehler: Standort hängt selbst an anderem Standort",IF(D43=A43,"Fehler: Zuleitung von sich selbst",IF(ISNA(MATCH(D43,Anlagen!$A$5:$A$92,0)),"Fehler: Zuleitung unbekannt",IF(INDEX($C$5:$C$92,MATCH(D43,Anlagen!$A$5:$A$92,0))&lt;&gt;C43,"Fehler: Zuleitung hängt an anderem Standort","OK"))))))</f>
        <v>OK</v>
      </c>
      <c r="Q43" s="23" t="str">
        <f aca="false">Anlagen!AA43</f>
        <v>BRAUE</v>
      </c>
      <c r="R43" s="23" t="n">
        <f aca="false">IF(Anlagen!AB43&lt;&gt;"",Anlagen!AB43,COUNTIFS($C$5:$C$92,C43,$J$5:$J$92,"&lt;"&amp;J43)+1)</f>
        <v>8</v>
      </c>
      <c r="S43" s="23" t="n">
        <f aca="false">1000+200*(R43-1)+1</f>
        <v>2401</v>
      </c>
      <c r="T43" s="23" t="n">
        <f aca="false">1000+200*(R43-1)+Anlagen!F43</f>
        <v>2469</v>
      </c>
      <c r="U43" s="23" t="n">
        <f aca="false">100+A43</f>
        <v>139</v>
      </c>
      <c r="V43" s="23" t="n">
        <f aca="false">200+A43</f>
        <v>239</v>
      </c>
      <c r="W43" s="23" t="n">
        <f aca="false">300+A43</f>
        <v>339</v>
      </c>
      <c r="X43" s="23" t="str">
        <f aca="false">"10."&amp;A43&amp;".1.0/24"</f>
        <v>10.39.1.0/24</v>
      </c>
      <c r="Y43" s="23" t="str">
        <f aca="false">IF(R43&gt;15,"Fehler: VLAN-Block über 15",IF(COUNTIFS($C$5:$C$92,C43,$R$5:$R$92,R43)&gt;1,"Fehler: VLAN-Block am Standort doppelt",IF(COUNTIF($Q$5:$Q$92,Q43)&gt;1,"Fehler: Kürzel doppelt",IF(Anlagen!F43&gt;199,"Fehler: mehr als 199 Parzellen","OK"))))</f>
        <v>OK</v>
      </c>
    </row>
    <row r="44" customFormat="false" ht="15" hidden="false" customHeight="false" outlineLevel="0" collapsed="false">
      <c r="A44" s="23" t="n">
        <f aca="false">Anlagen!A44</f>
        <v>40</v>
      </c>
      <c r="B44" s="23" t="str">
        <f aca="false">Anlagen!B44</f>
        <v>Glück Auf</v>
      </c>
      <c r="C44" s="23" t="n">
        <f aca="false">IF(Anlagen!S44&lt;&gt;"",Anlagen!S44,IF(Vorschlag_nutzen=1,Anlagen!Q44,A44))</f>
        <v>73</v>
      </c>
      <c r="D44" s="23" t="n">
        <f aca="false">IF(C44=A44,"",IF(Anlagen!T44&lt;&gt;"",Anlagen!T44,IF(AND(Anlagen!S44="",Vorschlag_nutzen=1,Anlagen!R44&lt;&gt;""),Anlagen!R44,C44)))</f>
        <v>73</v>
      </c>
      <c r="E44" s="23" t="str">
        <f aca="false">IF(C44=A44,IF(COUNTIF($C$5:$C$92,A44)&gt;1,"Gateway-Standort","eigenständig"),"über "&amp;IFERROR(INDEX(Anlagen!$B$5:$B$92,MATCH(D44,Anlagen!$A$5:$A$92,0)),"?"))</f>
        <v>über Sommerfreude II</v>
      </c>
      <c r="F44" s="36" t="n">
        <f aca="false">IF(C44=A44,0,IF(Anlagen!V44&lt;&gt;"",Anlagen!V44/1000,IFERROR(SQRT((Anlagen!N44-INDEX(Anlagen!$N$5:$N$92,MATCH(D44,Anlagen!$A$5:$A$92,0)))^2+(Anlagen!O44-INDEX(Anlagen!$O$5:$O$92,MATCH(D44,Anlagen!$A$5:$A$92,0)))^2),0)))</f>
        <v>0.370540146272978</v>
      </c>
      <c r="G44" s="37" t="n">
        <f aca="false">IF(C44=A44,0,IF(Anlagen!V44&lt;&gt;"",Anlagen!V44,F44*1000*Umweg))</f>
        <v>481.702190154872</v>
      </c>
      <c r="H44" s="38" t="n">
        <f aca="false">IF(C44=A44,0,(G44*(P_Faser+P_Tiefbau)+2*P_SFP+P_MontZul)*EK)</f>
        <v>1090.46040942645</v>
      </c>
      <c r="I44" s="38" t="n">
        <f aca="false">IF(C44=A44,0,(P_Saeule+P_Flex+P_NT+P_Halter+P_Luefter+P_Spleiss+P_Ueber)*EK)</f>
        <v>851.326</v>
      </c>
      <c r="J44" s="23" t="n">
        <f aca="false">IF(Anlagen!U44&lt;&gt;"",Anlagen!U44,IF(C44=A44,500,1000)+ROW())</f>
        <v>1044</v>
      </c>
      <c r="K44" s="37" t="n">
        <f aca="false">SUMIFS(Anlagen!$F$5:$F$92,$C$5:$C$92,C44,$J$5:$J$92,"&lt;"&amp;J44)</f>
        <v>210</v>
      </c>
      <c r="L44" s="23" t="n">
        <f aca="false">INT(K44/PG)+1</f>
        <v>4</v>
      </c>
      <c r="M44" s="23" t="n">
        <f aca="false">MAX(L44,CEILING((K44+Anlagen!F44)/PG,1))</f>
        <v>5</v>
      </c>
      <c r="N44" s="23" t="str">
        <f aca="false">IFERROR(INDEX(Anlagen!$B$5:$B$92,MATCH(C44,Anlagen!$A$5:$A$92,0)),"?")&amp;": GW "&amp;L44&amp;IF(M44&gt;L44,"–"&amp;M44,"")</f>
        <v>Sommerfreude II: GW 4–5</v>
      </c>
      <c r="O44" s="31" t="n">
        <f aca="false">Buchungsquote!V44</f>
        <v>19.3441441441441</v>
      </c>
      <c r="P44" s="23" t="str">
        <f aca="false">IF(ISNA(MATCH(C44,Anlagen!$A$5:$A$92,0)),"Fehler: Standort unbekannt",IF(C44=A44,"OK",IF(INDEX($C$5:$C$92,MATCH(C44,Anlagen!$A$5:$A$92,0))&lt;&gt;C44,"Fehler: Standort hängt selbst an anderem Standort",IF(D44=A44,"Fehler: Zuleitung von sich selbst",IF(ISNA(MATCH(D44,Anlagen!$A$5:$A$92,0)),"Fehler: Zuleitung unbekannt",IF(INDEX($C$5:$C$92,MATCH(D44,Anlagen!$A$5:$A$92,0))&lt;&gt;C44,"Fehler: Zuleitung hängt an anderem Standort","OK"))))))</f>
        <v>OK</v>
      </c>
      <c r="Q44" s="23" t="str">
        <f aca="false">Anlagen!AA44</f>
        <v>GLAUF</v>
      </c>
      <c r="R44" s="23" t="n">
        <f aca="false">IF(Anlagen!AB44&lt;&gt;"",Anlagen!AB44,COUNTIFS($C$5:$C$92,C44,$J$5:$J$92,"&lt;"&amp;J44)+1)</f>
        <v>4</v>
      </c>
      <c r="S44" s="23" t="n">
        <f aca="false">1000+200*(R44-1)+1</f>
        <v>1601</v>
      </c>
      <c r="T44" s="23" t="n">
        <f aca="false">1000+200*(R44-1)+Anlagen!F44</f>
        <v>1634</v>
      </c>
      <c r="U44" s="23" t="n">
        <f aca="false">100+A44</f>
        <v>140</v>
      </c>
      <c r="V44" s="23" t="n">
        <f aca="false">200+A44</f>
        <v>240</v>
      </c>
      <c r="W44" s="23" t="n">
        <f aca="false">300+A44</f>
        <v>340</v>
      </c>
      <c r="X44" s="23" t="str">
        <f aca="false">"10."&amp;A44&amp;".1.0/24"</f>
        <v>10.40.1.0/24</v>
      </c>
      <c r="Y44" s="23" t="str">
        <f aca="false">IF(R44&gt;15,"Fehler: VLAN-Block über 15",IF(COUNTIFS($C$5:$C$92,C44,$R$5:$R$92,R44)&gt;1,"Fehler: VLAN-Block am Standort doppelt",IF(COUNTIF($Q$5:$Q$92,Q44)&gt;1,"Fehler: Kürzel doppelt",IF(Anlagen!F44&gt;199,"Fehler: mehr als 199 Parzellen","OK"))))</f>
        <v>OK</v>
      </c>
    </row>
    <row r="45" customFormat="false" ht="15" hidden="false" customHeight="false" outlineLevel="0" collapsed="false">
      <c r="A45" s="23" t="n">
        <f aca="false">Anlagen!A45</f>
        <v>41</v>
      </c>
      <c r="B45" s="23" t="str">
        <f aca="false">Anlagen!B45</f>
        <v>Glück im Winkel</v>
      </c>
      <c r="C45" s="23" t="n">
        <f aca="false">IF(Anlagen!S45&lt;&gt;"",Anlagen!S45,IF(Vorschlag_nutzen=1,Anlagen!Q45,A45))</f>
        <v>41</v>
      </c>
      <c r="D45" s="23" t="str">
        <f aca="false">IF(C45=A45,"",IF(Anlagen!T45&lt;&gt;"",Anlagen!T45,IF(AND(Anlagen!S45="",Vorschlag_nutzen=1,Anlagen!R45&lt;&gt;""),Anlagen!R45,C45)))</f>
        <v/>
      </c>
      <c r="E45" s="23" t="str">
        <f aca="false">IF(C45=A45,IF(COUNTIF($C$5:$C$92,A45)&gt;1,"Gateway-Standort","eigenständig"),"über "&amp;IFERROR(INDEX(Anlagen!$B$5:$B$92,MATCH(D45,Anlagen!$A$5:$A$92,0)),"?"))</f>
        <v>Gateway-Standort</v>
      </c>
      <c r="F45" s="36" t="n">
        <f aca="false">IF(C45=A45,0,IF(Anlagen!V45&lt;&gt;"",Anlagen!V45/1000,IFERROR(SQRT((Anlagen!N45-INDEX(Anlagen!$N$5:$N$92,MATCH(D45,Anlagen!$A$5:$A$92,0)))^2+(Anlagen!O45-INDEX(Anlagen!$O$5:$O$92,MATCH(D45,Anlagen!$A$5:$A$92,0)))^2),0)))</f>
        <v>0</v>
      </c>
      <c r="G45" s="37" t="n">
        <f aca="false">IF(C45=A45,0,IF(Anlagen!V45&lt;&gt;"",Anlagen!V45,F45*1000*Umweg))</f>
        <v>0</v>
      </c>
      <c r="H45" s="38" t="n">
        <f aca="false">IF(C45=A45,0,(G45*(P_Faser+P_Tiefbau)+2*P_SFP+P_MontZul)*EK)</f>
        <v>0</v>
      </c>
      <c r="I45" s="38" t="n">
        <f aca="false">IF(C45=A45,0,(P_Saeule+P_Flex+P_NT+P_Halter+P_Luefter+P_Spleiss+P_Ueber)*EK)</f>
        <v>0</v>
      </c>
      <c r="J45" s="23" t="n">
        <f aca="false">IF(Anlagen!U45&lt;&gt;"",Anlagen!U45,IF(C45=A45,500,1000)+ROW())</f>
        <v>545</v>
      </c>
      <c r="K45" s="37" t="n">
        <f aca="false">SUMIFS(Anlagen!$F$5:$F$92,$C$5:$C$92,C45,$J$5:$J$92,"&lt;"&amp;J45)</f>
        <v>0</v>
      </c>
      <c r="L45" s="23" t="n">
        <f aca="false">INT(K45/PG)+1</f>
        <v>1</v>
      </c>
      <c r="M45" s="23" t="n">
        <f aca="false">MAX(L45,CEILING((K45+Anlagen!F45)/PG,1))</f>
        <v>3</v>
      </c>
      <c r="N45" s="23" t="str">
        <f aca="false">IFERROR(INDEX(Anlagen!$B$5:$B$92,MATCH(C45,Anlagen!$A$5:$A$92,0)),"?")&amp;": GW "&amp;L45&amp;IF(M45&gt;L45,"–"&amp;M45,"")</f>
        <v>Glück im Winkel: GW 1–3</v>
      </c>
      <c r="O45" s="31" t="n">
        <f aca="false">Buchungsquote!V45</f>
        <v>80.9250620347395</v>
      </c>
      <c r="P45" s="23" t="str">
        <f aca="false">IF(ISNA(MATCH(C45,Anlagen!$A$5:$A$92,0)),"Fehler: Standort unbekannt",IF(C45=A45,"OK",IF(INDEX($C$5:$C$92,MATCH(C45,Anlagen!$A$5:$A$92,0))&lt;&gt;C45,"Fehler: Standort hängt selbst an anderem Standort",IF(D45=A45,"Fehler: Zuleitung von sich selbst",IF(ISNA(MATCH(D45,Anlagen!$A$5:$A$92,0)),"Fehler: Zuleitung unbekannt",IF(INDEX($C$5:$C$92,MATCH(D45,Anlagen!$A$5:$A$92,0))&lt;&gt;C45,"Fehler: Zuleitung hängt an anderem Standort","OK"))))))</f>
        <v>OK</v>
      </c>
      <c r="Q45" s="23" t="str">
        <f aca="false">Anlagen!AA45</f>
        <v>GLWIN</v>
      </c>
      <c r="R45" s="23" t="n">
        <f aca="false">IF(Anlagen!AB45&lt;&gt;"",Anlagen!AB45,COUNTIFS($C$5:$C$92,C45,$J$5:$J$92,"&lt;"&amp;J45)+1)</f>
        <v>1</v>
      </c>
      <c r="S45" s="23" t="n">
        <f aca="false">1000+200*(R45-1)+1</f>
        <v>1001</v>
      </c>
      <c r="T45" s="23" t="n">
        <f aca="false">1000+200*(R45-1)+Anlagen!F45</f>
        <v>1139</v>
      </c>
      <c r="U45" s="23" t="n">
        <f aca="false">100+A45</f>
        <v>141</v>
      </c>
      <c r="V45" s="23" t="n">
        <f aca="false">200+A45</f>
        <v>241</v>
      </c>
      <c r="W45" s="23" t="n">
        <f aca="false">300+A45</f>
        <v>341</v>
      </c>
      <c r="X45" s="23" t="str">
        <f aca="false">"10."&amp;A45&amp;".1.0/24"</f>
        <v>10.41.1.0/24</v>
      </c>
      <c r="Y45" s="23" t="str">
        <f aca="false">IF(R45&gt;15,"Fehler: VLAN-Block über 15",IF(COUNTIFS($C$5:$C$92,C45,$R$5:$R$92,R45)&gt;1,"Fehler: VLAN-Block am Standort doppelt",IF(COUNTIF($Q$5:$Q$92,Q45)&gt;1,"Fehler: Kürzel doppelt",IF(Anlagen!F45&gt;199,"Fehler: mehr als 199 Parzellen","OK"))))</f>
        <v>OK</v>
      </c>
    </row>
    <row r="46" customFormat="false" ht="15" hidden="false" customHeight="false" outlineLevel="0" collapsed="false">
      <c r="A46" s="23" t="n">
        <f aca="false">Anlagen!A46</f>
        <v>42</v>
      </c>
      <c r="B46" s="23" t="str">
        <f aca="false">Anlagen!B46</f>
        <v>Grüne Ecke</v>
      </c>
      <c r="C46" s="23" t="n">
        <f aca="false">IF(Anlagen!S46&lt;&gt;"",Anlagen!S46,IF(Vorschlag_nutzen=1,Anlagen!Q46,A46))</f>
        <v>17</v>
      </c>
      <c r="D46" s="23" t="n">
        <f aca="false">IF(C46=A46,"",IF(Anlagen!T46&lt;&gt;"",Anlagen!T46,IF(AND(Anlagen!S46="",Vorschlag_nutzen=1,Anlagen!R46&lt;&gt;""),Anlagen!R46,C46)))</f>
        <v>38</v>
      </c>
      <c r="E46" s="23" t="str">
        <f aca="false">IF(C46=A46,IF(COUNTIF($C$5:$C$92,A46)&gt;1,"Gateway-Standort","eigenständig"),"über "&amp;IFERROR(INDEX(Anlagen!$B$5:$B$92,MATCH(D46,Anlagen!$A$5:$A$92,0)),"?"))</f>
        <v>über Frohsinn</v>
      </c>
      <c r="F46" s="36" t="n">
        <f aca="false">IF(C46=A46,0,IF(Anlagen!V46&lt;&gt;"",Anlagen!V46/1000,IFERROR(SQRT((Anlagen!N46-INDEX(Anlagen!$N$5:$N$92,MATCH(D46,Anlagen!$A$5:$A$92,0)))^2+(Anlagen!O46-INDEX(Anlagen!$O$5:$O$92,MATCH(D46,Anlagen!$A$5:$A$92,0)))^2),0)))</f>
        <v>0.306757233003559</v>
      </c>
      <c r="G46" s="37" t="n">
        <f aca="false">IF(C46=A46,0,IF(Anlagen!V46&lt;&gt;"",Anlagen!V46,F46*1000*Umweg))</f>
        <v>398.784402904626</v>
      </c>
      <c r="H46" s="38" t="n">
        <f aca="false">IF(C46=A46,0,(G46*(P_Faser+P_Tiefbau)+2*P_SFP+P_MontZul)*EK)</f>
        <v>942.452159184758</v>
      </c>
      <c r="I46" s="38" t="n">
        <f aca="false">IF(C46=A46,0,(P_Saeule+P_Flex+P_NT+P_Halter+P_Luefter+P_Spleiss+P_Ueber)*EK)</f>
        <v>851.326</v>
      </c>
      <c r="J46" s="23" t="n">
        <f aca="false">IF(Anlagen!U46&lt;&gt;"",Anlagen!U46,IF(C46=A46,500,1000)+ROW())</f>
        <v>1046</v>
      </c>
      <c r="K46" s="37" t="n">
        <f aca="false">SUMIFS(Anlagen!$F$5:$F$92,$C$5:$C$92,C46,$J$5:$J$92,"&lt;"&amp;J46)</f>
        <v>247</v>
      </c>
      <c r="L46" s="23" t="n">
        <f aca="false">INT(K46/PG)+1</f>
        <v>5</v>
      </c>
      <c r="M46" s="23" t="n">
        <f aca="false">MAX(L46,CEILING((K46+Anlagen!F46)/PG,1))</f>
        <v>6</v>
      </c>
      <c r="N46" s="23" t="str">
        <f aca="false">IFERROR(INDEX(Anlagen!$B$5:$B$92,MATCH(C46,Anlagen!$A$5:$A$92,0)),"?")&amp;": GW "&amp;L46&amp;IF(M46&gt;L46,"–"&amp;M46,"")</f>
        <v>Birkenwäldchen: GW 5–6</v>
      </c>
      <c r="O46" s="31" t="n">
        <f aca="false">Buchungsquote!V46</f>
        <v>28.5821428571429</v>
      </c>
      <c r="P46" s="23" t="str">
        <f aca="false">IF(ISNA(MATCH(C46,Anlagen!$A$5:$A$92,0)),"Fehler: Standort unbekannt",IF(C46=A46,"OK",IF(INDEX($C$5:$C$92,MATCH(C46,Anlagen!$A$5:$A$92,0))&lt;&gt;C46,"Fehler: Standort hängt selbst an anderem Standort",IF(D46=A46,"Fehler: Zuleitung von sich selbst",IF(ISNA(MATCH(D46,Anlagen!$A$5:$A$92,0)),"Fehler: Zuleitung unbekannt",IF(INDEX($C$5:$C$92,MATCH(D46,Anlagen!$A$5:$A$92,0))&lt;&gt;C46,"Fehler: Zuleitung hängt an anderem Standort","OK"))))))</f>
        <v>OK</v>
      </c>
      <c r="Q46" s="23" t="str">
        <f aca="false">Anlagen!AA46</f>
        <v>GRECK</v>
      </c>
      <c r="R46" s="23" t="n">
        <f aca="false">IF(Anlagen!AB46&lt;&gt;"",Anlagen!AB46,COUNTIFS($C$5:$C$92,C46,$J$5:$J$92,"&lt;"&amp;J46)+1)</f>
        <v>6</v>
      </c>
      <c r="S46" s="23" t="n">
        <f aca="false">1000+200*(R46-1)+1</f>
        <v>2001</v>
      </c>
      <c r="T46" s="23" t="n">
        <f aca="false">1000+200*(R46-1)+Anlagen!F46</f>
        <v>2050</v>
      </c>
      <c r="U46" s="23" t="n">
        <f aca="false">100+A46</f>
        <v>142</v>
      </c>
      <c r="V46" s="23" t="n">
        <f aca="false">200+A46</f>
        <v>242</v>
      </c>
      <c r="W46" s="23" t="n">
        <f aca="false">300+A46</f>
        <v>342</v>
      </c>
      <c r="X46" s="23" t="str">
        <f aca="false">"10."&amp;A46&amp;".1.0/24"</f>
        <v>10.42.1.0/24</v>
      </c>
      <c r="Y46" s="23" t="str">
        <f aca="false">IF(R46&gt;15,"Fehler: VLAN-Block über 15",IF(COUNTIFS($C$5:$C$92,C46,$R$5:$R$92,R46)&gt;1,"Fehler: VLAN-Block am Standort doppelt",IF(COUNTIF($Q$5:$Q$92,Q46)&gt;1,"Fehler: Kürzel doppelt",IF(Anlagen!F46&gt;199,"Fehler: mehr als 199 Parzellen","OK"))))</f>
        <v>OK</v>
      </c>
    </row>
    <row r="47" customFormat="false" ht="15" hidden="false" customHeight="false" outlineLevel="0" collapsed="false">
      <c r="A47" s="23" t="n">
        <f aca="false">Anlagen!A47</f>
        <v>43</v>
      </c>
      <c r="B47" s="23" t="str">
        <f aca="false">Anlagen!B47</f>
        <v>Grüner Kranz</v>
      </c>
      <c r="C47" s="23" t="n">
        <f aca="false">IF(Anlagen!S47&lt;&gt;"",Anlagen!S47,IF(Vorschlag_nutzen=1,Anlagen!Q47,A47))</f>
        <v>49</v>
      </c>
      <c r="D47" s="23" t="n">
        <f aca="false">IF(C47=A47,"",IF(Anlagen!T47&lt;&gt;"",Anlagen!T47,IF(AND(Anlagen!S47="",Vorschlag_nutzen=1,Anlagen!R47&lt;&gt;""),Anlagen!R47,C47)))</f>
        <v>7</v>
      </c>
      <c r="E47" s="23" t="str">
        <f aca="false">IF(C47=A47,IF(COUNTIF($C$5:$C$92,A47)&gt;1,"Gateway-Standort","eigenständig"),"über "&amp;IFERROR(INDEX(Anlagen!$B$5:$B$92,MATCH(D47,Anlagen!$A$5:$A$92,0)),"?"))</f>
        <v>über Am Beetzseeufer</v>
      </c>
      <c r="F47" s="36" t="n">
        <f aca="false">IF(C47=A47,0,IF(Anlagen!V47&lt;&gt;"",Anlagen!V47/1000,IFERROR(SQRT((Anlagen!N47-INDEX(Anlagen!$N$5:$N$92,MATCH(D47,Anlagen!$A$5:$A$92,0)))^2+(Anlagen!O47-INDEX(Anlagen!$O$5:$O$92,MATCH(D47,Anlagen!$A$5:$A$92,0)))^2),0)))</f>
        <v>0.388973006775536</v>
      </c>
      <c r="G47" s="37" t="n">
        <f aca="false">IF(C47=A47,0,IF(Anlagen!V47&lt;&gt;"",Anlagen!V47,F47*1000*Umweg))</f>
        <v>505.664908808196</v>
      </c>
      <c r="H47" s="38" t="n">
        <f aca="false">IF(C47=A47,0,(G47*(P_Faser+P_Tiefbau)+2*P_SFP+P_MontZul)*EK)</f>
        <v>1133.23386222263</v>
      </c>
      <c r="I47" s="38" t="n">
        <f aca="false">IF(C47=A47,0,(P_Saeule+P_Flex+P_NT+P_Halter+P_Luefter+P_Spleiss+P_Ueber)*EK)</f>
        <v>851.326</v>
      </c>
      <c r="J47" s="23" t="n">
        <f aca="false">IF(Anlagen!U47&lt;&gt;"",Anlagen!U47,IF(C47=A47,500,1000)+ROW())</f>
        <v>1047</v>
      </c>
      <c r="K47" s="37" t="n">
        <f aca="false">SUMIFS(Anlagen!$F$5:$F$92,$C$5:$C$92,C47,$J$5:$J$92,"&lt;"&amp;J47)</f>
        <v>247</v>
      </c>
      <c r="L47" s="23" t="n">
        <f aca="false">INT(K47/PG)+1</f>
        <v>5</v>
      </c>
      <c r="M47" s="23" t="n">
        <f aca="false">MAX(L47,CEILING((K47+Anlagen!F47)/PG,1))</f>
        <v>6</v>
      </c>
      <c r="N47" s="23" t="str">
        <f aca="false">IFERROR(INDEX(Anlagen!$B$5:$B$92,MATCH(C47,Anlagen!$A$5:$A$92,0)),"?")&amp;": GW "&amp;L47&amp;IF(M47&gt;L47,"–"&amp;M47,"")</f>
        <v>Helgoland: GW 5–6</v>
      </c>
      <c r="O47" s="31" t="n">
        <f aca="false">Buchungsquote!V47</f>
        <v>42.6665771812081</v>
      </c>
      <c r="P47" s="23" t="str">
        <f aca="false">IF(ISNA(MATCH(C47,Anlagen!$A$5:$A$92,0)),"Fehler: Standort unbekannt",IF(C47=A47,"OK",IF(INDEX($C$5:$C$92,MATCH(C47,Anlagen!$A$5:$A$92,0))&lt;&gt;C47,"Fehler: Standort hängt selbst an anderem Standort",IF(D47=A47,"Fehler: Zuleitung von sich selbst",IF(ISNA(MATCH(D47,Anlagen!$A$5:$A$92,0)),"Fehler: Zuleitung unbekannt",IF(INDEX($C$5:$C$92,MATCH(D47,Anlagen!$A$5:$A$92,0))&lt;&gt;C47,"Fehler: Zuleitung hängt an anderem Standort","OK"))))))</f>
        <v>OK</v>
      </c>
      <c r="Q47" s="23" t="str">
        <f aca="false">Anlagen!AA47</f>
        <v>GRKRZ</v>
      </c>
      <c r="R47" s="23" t="n">
        <f aca="false">IF(Anlagen!AB47&lt;&gt;"",Anlagen!AB47,COUNTIFS($C$5:$C$92,C47,$J$5:$J$92,"&lt;"&amp;J47)+1)</f>
        <v>5</v>
      </c>
      <c r="S47" s="23" t="n">
        <f aca="false">1000+200*(R47-1)+1</f>
        <v>1801</v>
      </c>
      <c r="T47" s="23" t="n">
        <f aca="false">1000+200*(R47-1)+Anlagen!F47</f>
        <v>1870</v>
      </c>
      <c r="U47" s="23" t="n">
        <f aca="false">100+A47</f>
        <v>143</v>
      </c>
      <c r="V47" s="23" t="n">
        <f aca="false">200+A47</f>
        <v>243</v>
      </c>
      <c r="W47" s="23" t="n">
        <f aca="false">300+A47</f>
        <v>343</v>
      </c>
      <c r="X47" s="23" t="str">
        <f aca="false">"10."&amp;A47&amp;".1.0/24"</f>
        <v>10.43.1.0/24</v>
      </c>
      <c r="Y47" s="23" t="str">
        <f aca="false">IF(R47&gt;15,"Fehler: VLAN-Block über 15",IF(COUNTIFS($C$5:$C$92,C47,$R$5:$R$92,R47)&gt;1,"Fehler: VLAN-Block am Standort doppelt",IF(COUNTIF($Q$5:$Q$92,Q47)&gt;1,"Fehler: Kürzel doppelt",IF(Anlagen!F47&gt;199,"Fehler: mehr als 199 Parzellen","OK"))))</f>
        <v>OK</v>
      </c>
    </row>
    <row r="48" customFormat="false" ht="15" hidden="false" customHeight="false" outlineLevel="0" collapsed="false">
      <c r="A48" s="23" t="n">
        <f aca="false">Anlagen!A48</f>
        <v>44</v>
      </c>
      <c r="B48" s="23" t="str">
        <f aca="false">Anlagen!B48</f>
        <v>Grünes Heim</v>
      </c>
      <c r="C48" s="23" t="n">
        <f aca="false">IF(Anlagen!S48&lt;&gt;"",Anlagen!S48,IF(Vorschlag_nutzen=1,Anlagen!Q48,A48))</f>
        <v>56</v>
      </c>
      <c r="D48" s="23" t="n">
        <f aca="false">IF(C48=A48,"",IF(Anlagen!T48&lt;&gt;"",Anlagen!T48,IF(AND(Anlagen!S48="",Vorschlag_nutzen=1,Anlagen!R48&lt;&gt;""),Anlagen!R48,C48)))</f>
        <v>56</v>
      </c>
      <c r="E48" s="23" t="str">
        <f aca="false">IF(C48=A48,IF(COUNTIF($C$5:$C$92,A48)&gt;1,"Gateway-Standort","eigenständig"),"über "&amp;IFERROR(INDEX(Anlagen!$B$5:$B$92,MATCH(D48,Anlagen!$A$5:$A$92,0)),"?"))</f>
        <v>über Kammgarn</v>
      </c>
      <c r="F48" s="36" t="n">
        <f aca="false">IF(C48=A48,0,IF(Anlagen!V48&lt;&gt;"",Anlagen!V48/1000,IFERROR(SQRT((Anlagen!N48-INDEX(Anlagen!$N$5:$N$92,MATCH(D48,Anlagen!$A$5:$A$92,0)))^2+(Anlagen!O48-INDEX(Anlagen!$O$5:$O$92,MATCH(D48,Anlagen!$A$5:$A$92,0)))^2),0)))</f>
        <v>0.226274169979695</v>
      </c>
      <c r="G48" s="37" t="n">
        <f aca="false">IF(C48=A48,0,IF(Anlagen!V48&lt;&gt;"",Anlagen!V48,F48*1000*Umweg))</f>
        <v>294.156420973604</v>
      </c>
      <c r="H48" s="38" t="n">
        <f aca="false">IF(C48=A48,0,(G48*(P_Faser+P_Tiefbau)+2*P_SFP+P_MontZul)*EK)</f>
        <v>755.691211437883</v>
      </c>
      <c r="I48" s="38" t="n">
        <f aca="false">IF(C48=A48,0,(P_Saeule+P_Flex+P_NT+P_Halter+P_Luefter+P_Spleiss+P_Ueber)*EK)</f>
        <v>851.326</v>
      </c>
      <c r="J48" s="23" t="n">
        <f aca="false">IF(Anlagen!U48&lt;&gt;"",Anlagen!U48,IF(C48=A48,500,1000)+ROW())</f>
        <v>1048</v>
      </c>
      <c r="K48" s="37" t="n">
        <f aca="false">SUMIFS(Anlagen!$F$5:$F$92,$C$5:$C$92,C48,$J$5:$J$92,"&lt;"&amp;J48)</f>
        <v>61</v>
      </c>
      <c r="L48" s="23" t="n">
        <f aca="false">INT(K48/PG)+1</f>
        <v>2</v>
      </c>
      <c r="M48" s="23" t="n">
        <f aca="false">MAX(L48,CEILING((K48+Anlagen!F48)/PG,1))</f>
        <v>2</v>
      </c>
      <c r="N48" s="23" t="str">
        <f aca="false">IFERROR(INDEX(Anlagen!$B$5:$B$92,MATCH(C48,Anlagen!$A$5:$A$92,0)),"?")&amp;": GW "&amp;L48&amp;IF(M48&gt;L48,"–"&amp;M48,"")</f>
        <v>Kammgarn: GW 2</v>
      </c>
      <c r="O48" s="31" t="n">
        <f aca="false">Buchungsquote!V48</f>
        <v>14.8680751173709</v>
      </c>
      <c r="P48" s="23" t="str">
        <f aca="false">IF(ISNA(MATCH(C48,Anlagen!$A$5:$A$92,0)),"Fehler: Standort unbekannt",IF(C48=A48,"OK",IF(INDEX($C$5:$C$92,MATCH(C48,Anlagen!$A$5:$A$92,0))&lt;&gt;C48,"Fehler: Standort hängt selbst an anderem Standort",IF(D48=A48,"Fehler: Zuleitung von sich selbst",IF(ISNA(MATCH(D48,Anlagen!$A$5:$A$92,0)),"Fehler: Zuleitung unbekannt",IF(INDEX($C$5:$C$92,MATCH(D48,Anlagen!$A$5:$A$92,0))&lt;&gt;C48,"Fehler: Zuleitung hängt an anderem Standort","OK"))))))</f>
        <v>OK</v>
      </c>
      <c r="Q48" s="23" t="str">
        <f aca="false">Anlagen!AA48</f>
        <v>GRHEI</v>
      </c>
      <c r="R48" s="23" t="n">
        <f aca="false">IF(Anlagen!AB48&lt;&gt;"",Anlagen!AB48,COUNTIFS($C$5:$C$92,C48,$J$5:$J$92,"&lt;"&amp;J48)+1)</f>
        <v>4</v>
      </c>
      <c r="S48" s="23" t="n">
        <f aca="false">1000+200*(R48-1)+1</f>
        <v>1601</v>
      </c>
      <c r="T48" s="23" t="n">
        <f aca="false">1000+200*(R48-1)+Anlagen!F48</f>
        <v>1623</v>
      </c>
      <c r="U48" s="23" t="n">
        <f aca="false">100+A48</f>
        <v>144</v>
      </c>
      <c r="V48" s="23" t="n">
        <f aca="false">200+A48</f>
        <v>244</v>
      </c>
      <c r="W48" s="23" t="n">
        <f aca="false">300+A48</f>
        <v>344</v>
      </c>
      <c r="X48" s="23" t="str">
        <f aca="false">"10."&amp;A48&amp;".1.0/24"</f>
        <v>10.44.1.0/24</v>
      </c>
      <c r="Y48" s="23" t="str">
        <f aca="false">IF(R48&gt;15,"Fehler: VLAN-Block über 15",IF(COUNTIFS($C$5:$C$92,C48,$R$5:$R$92,R48)&gt;1,"Fehler: VLAN-Block am Standort doppelt",IF(COUNTIF($Q$5:$Q$92,Q48)&gt;1,"Fehler: Kürzel doppelt",IF(Anlagen!F48&gt;199,"Fehler: mehr als 199 Parzellen","OK"))))</f>
        <v>OK</v>
      </c>
    </row>
    <row r="49" customFormat="false" ht="15" hidden="false" customHeight="false" outlineLevel="0" collapsed="false">
      <c r="A49" s="23" t="n">
        <f aca="false">Anlagen!A49</f>
        <v>45</v>
      </c>
      <c r="B49" s="23" t="str">
        <f aca="false">Anlagen!B49</f>
        <v>Gut Wetter</v>
      </c>
      <c r="C49" s="23" t="n">
        <f aca="false">IF(Anlagen!S49&lt;&gt;"",Anlagen!S49,IF(Vorschlag_nutzen=1,Anlagen!Q49,A49))</f>
        <v>30</v>
      </c>
      <c r="D49" s="23" t="n">
        <f aca="false">IF(C49=A49,"",IF(Anlagen!T49&lt;&gt;"",Anlagen!T49,IF(AND(Anlagen!S49="",Vorschlag_nutzen=1,Anlagen!R49&lt;&gt;""),Anlagen!R49,C49)))</f>
        <v>3</v>
      </c>
      <c r="E49" s="23" t="str">
        <f aca="false">IF(C49=A49,IF(COUNTIF($C$5:$C$92,A49)&gt;1,"Gateway-Standort","eigenständig"),"über "&amp;IFERROR(INDEX(Anlagen!$B$5:$B$92,MATCH(D49,Anlagen!$A$5:$A$92,0)),"?"))</f>
        <v>über Abendrot</v>
      </c>
      <c r="F49" s="36" t="n">
        <f aca="false">IF(C49=A49,0,IF(Anlagen!V49&lt;&gt;"",Anlagen!V49/1000,IFERROR(SQRT((Anlagen!N49-INDEX(Anlagen!$N$5:$N$92,MATCH(D49,Anlagen!$A$5:$A$92,0)))^2+(Anlagen!O49-INDEX(Anlagen!$O$5:$O$92,MATCH(D49,Anlagen!$A$5:$A$92,0)))^2),0)))</f>
        <v>0.590338885725817</v>
      </c>
      <c r="G49" s="37" t="n">
        <f aca="false">IF(C49=A49,0,IF(Anlagen!V49&lt;&gt;"",Anlagen!V49,F49*1000*Umweg))</f>
        <v>767.440551443562</v>
      </c>
      <c r="H49" s="38" t="n">
        <f aca="false">IF(C49=A49,0,(G49*(P_Faser+P_Tiefbau)+2*P_SFP+P_MontZul)*EK)</f>
        <v>1600.50338432676</v>
      </c>
      <c r="I49" s="38" t="n">
        <f aca="false">IF(C49=A49,0,(P_Saeule+P_Flex+P_NT+P_Halter+P_Luefter+P_Spleiss+P_Ueber)*EK)</f>
        <v>851.326</v>
      </c>
      <c r="J49" s="23" t="n">
        <f aca="false">IF(Anlagen!U49&lt;&gt;"",Anlagen!U49,IF(C49=A49,500,1000)+ROW())</f>
        <v>1049</v>
      </c>
      <c r="K49" s="37" t="n">
        <f aca="false">SUMIFS(Anlagen!$F$5:$F$92,$C$5:$C$92,C49,$J$5:$J$92,"&lt;"&amp;J49)</f>
        <v>469</v>
      </c>
      <c r="L49" s="23" t="n">
        <f aca="false">INT(K49/PG)+1</f>
        <v>9</v>
      </c>
      <c r="M49" s="23" t="n">
        <f aca="false">MAX(L49,CEILING((K49+Anlagen!F49)/PG,1))</f>
        <v>9</v>
      </c>
      <c r="N49" s="23" t="str">
        <f aca="false">IFERROR(INDEX(Anlagen!$B$5:$B$92,MATCH(C49,Anlagen!$A$5:$A$92,0)),"?")&amp;": GW "&amp;L49&amp;IF(M49&gt;L49,"–"&amp;M49,"")</f>
        <v>Feierabend: GW 9</v>
      </c>
      <c r="O49" s="31" t="n">
        <f aca="false">Buchungsquote!V49</f>
        <v>9.89290322580645</v>
      </c>
      <c r="P49" s="23" t="str">
        <f aca="false">IF(ISNA(MATCH(C49,Anlagen!$A$5:$A$92,0)),"Fehler: Standort unbekannt",IF(C49=A49,"OK",IF(INDEX($C$5:$C$92,MATCH(C49,Anlagen!$A$5:$A$92,0))&lt;&gt;C49,"Fehler: Standort hängt selbst an anderem Standort",IF(D49=A49,"Fehler: Zuleitung von sich selbst",IF(ISNA(MATCH(D49,Anlagen!$A$5:$A$92,0)),"Fehler: Zuleitung unbekannt",IF(INDEX($C$5:$C$92,MATCH(D49,Anlagen!$A$5:$A$92,0))&lt;&gt;C49,"Fehler: Zuleitung hängt an anderem Standort","OK"))))))</f>
        <v>OK</v>
      </c>
      <c r="Q49" s="23" t="str">
        <f aca="false">Anlagen!AA49</f>
        <v>GUTWE</v>
      </c>
      <c r="R49" s="23" t="n">
        <f aca="false">IF(Anlagen!AB49&lt;&gt;"",Anlagen!AB49,COUNTIFS($C$5:$C$92,C49,$J$5:$J$92,"&lt;"&amp;J49)+1)</f>
        <v>4</v>
      </c>
      <c r="S49" s="23" t="n">
        <f aca="false">1000+200*(R49-1)+1</f>
        <v>1601</v>
      </c>
      <c r="T49" s="23" t="n">
        <f aca="false">1000+200*(R49-1)+Anlagen!F49</f>
        <v>1617</v>
      </c>
      <c r="U49" s="23" t="n">
        <f aca="false">100+A49</f>
        <v>145</v>
      </c>
      <c r="V49" s="23" t="n">
        <f aca="false">200+A49</f>
        <v>245</v>
      </c>
      <c r="W49" s="23" t="n">
        <f aca="false">300+A49</f>
        <v>345</v>
      </c>
      <c r="X49" s="23" t="str">
        <f aca="false">"10."&amp;A49&amp;".1.0/24"</f>
        <v>10.45.1.0/24</v>
      </c>
      <c r="Y49" s="23" t="str">
        <f aca="false">IF(R49&gt;15,"Fehler: VLAN-Block über 15",IF(COUNTIFS($C$5:$C$92,C49,$R$5:$R$92,R49)&gt;1,"Fehler: VLAN-Block am Standort doppelt",IF(COUNTIF($Q$5:$Q$92,Q49)&gt;1,"Fehler: Kürzel doppelt",IF(Anlagen!F49&gt;199,"Fehler: mehr als 199 Parzellen","OK"))))</f>
        <v>OK</v>
      </c>
    </row>
    <row r="50" customFormat="false" ht="15" hidden="false" customHeight="false" outlineLevel="0" collapsed="false">
      <c r="A50" s="23" t="n">
        <f aca="false">Anlagen!A50</f>
        <v>46</v>
      </c>
      <c r="B50" s="23" t="str">
        <f aca="false">Anlagen!B50</f>
        <v>Handwerker</v>
      </c>
      <c r="C50" s="23" t="n">
        <f aca="false">IF(Anlagen!S50&lt;&gt;"",Anlagen!S50,IF(Vorschlag_nutzen=1,Anlagen!Q50,A50))</f>
        <v>23</v>
      </c>
      <c r="D50" s="23" t="n">
        <f aca="false">IF(C50=A50,"",IF(Anlagen!T50&lt;&gt;"",Anlagen!T50,IF(AND(Anlagen!S50="",Vorschlag_nutzen=1,Anlagen!R50&lt;&gt;""),Anlagen!R50,C50)))</f>
        <v>79</v>
      </c>
      <c r="E50" s="23" t="str">
        <f aca="false">IF(C50=A50,IF(COUNTIF($C$5:$C$92,A50)&gt;1,"Gateway-Standort","eigenständig"),"über "&amp;IFERROR(INDEX(Anlagen!$B$5:$B$92,MATCH(D50,Anlagen!$A$5:$A$92,0)),"?"))</f>
        <v>über Sportpark</v>
      </c>
      <c r="F50" s="36" t="n">
        <f aca="false">IF(C50=A50,0,IF(Anlagen!V50&lt;&gt;"",Anlagen!V50/1000,IFERROR(SQRT((Anlagen!N50-INDEX(Anlagen!$N$5:$N$92,MATCH(D50,Anlagen!$A$5:$A$92,0)))^2+(Anlagen!O50-INDEX(Anlagen!$O$5:$O$92,MATCH(D50,Anlagen!$A$5:$A$92,0)))^2),0)))</f>
        <v>0.194164878389476</v>
      </c>
      <c r="G50" s="37" t="n">
        <f aca="false">IF(C50=A50,0,IF(Anlagen!V50&lt;&gt;"",Anlagen!V50,F50*1000*Umweg))</f>
        <v>252.414341906319</v>
      </c>
      <c r="H50" s="38" t="n">
        <f aca="false">IF(C50=A50,0,(G50*(P_Faser+P_Tiefbau)+2*P_SFP+P_MontZul)*EK)</f>
        <v>681.181600302779</v>
      </c>
      <c r="I50" s="38" t="n">
        <f aca="false">IF(C50=A50,0,(P_Saeule+P_Flex+P_NT+P_Halter+P_Luefter+P_Spleiss+P_Ueber)*EK)</f>
        <v>851.326</v>
      </c>
      <c r="J50" s="23" t="n">
        <f aca="false">IF(Anlagen!U50&lt;&gt;"",Anlagen!U50,IF(C50=A50,500,1000)+ROW())</f>
        <v>1050</v>
      </c>
      <c r="K50" s="37" t="n">
        <f aca="false">SUMIFS(Anlagen!$F$5:$F$92,$C$5:$C$92,C50,$J$5:$J$92,"&lt;"&amp;J50)</f>
        <v>385</v>
      </c>
      <c r="L50" s="23" t="n">
        <f aca="false">INT(K50/PG)+1</f>
        <v>8</v>
      </c>
      <c r="M50" s="23" t="n">
        <f aca="false">MAX(L50,CEILING((K50+Anlagen!F50)/PG,1))</f>
        <v>8</v>
      </c>
      <c r="N50" s="23" t="str">
        <f aca="false">IFERROR(INDEX(Anlagen!$B$5:$B$92,MATCH(C50,Anlagen!$A$5:$A$92,0)),"?")&amp;": GW "&amp;L50&amp;IF(M50&gt;L50,"–"&amp;M50,"")</f>
        <v>Eigener Fleiß: GW 8</v>
      </c>
      <c r="O50" s="31" t="n">
        <f aca="false">Buchungsquote!V50</f>
        <v>18.7832164328657</v>
      </c>
      <c r="P50" s="23" t="str">
        <f aca="false">IF(ISNA(MATCH(C50,Anlagen!$A$5:$A$92,0)),"Fehler: Standort unbekannt",IF(C50=A50,"OK",IF(INDEX($C$5:$C$92,MATCH(C50,Anlagen!$A$5:$A$92,0))&lt;&gt;C50,"Fehler: Standort hängt selbst an anderem Standort",IF(D50=A50,"Fehler: Zuleitung von sich selbst",IF(ISNA(MATCH(D50,Anlagen!$A$5:$A$92,0)),"Fehler: Zuleitung unbekannt",IF(INDEX($C$5:$C$92,MATCH(D50,Anlagen!$A$5:$A$92,0))&lt;&gt;C50,"Fehler: Zuleitung hängt an anderem Standort","OK"))))))</f>
        <v>OK</v>
      </c>
      <c r="Q50" s="23" t="str">
        <f aca="false">Anlagen!AA50</f>
        <v>HANDW</v>
      </c>
      <c r="R50" s="23" t="n">
        <f aca="false">IF(Anlagen!AB50&lt;&gt;"",Anlagen!AB50,COUNTIFS($C$5:$C$92,C50,$J$5:$J$92,"&lt;"&amp;J50)+1)</f>
        <v>6</v>
      </c>
      <c r="S50" s="23" t="n">
        <f aca="false">1000+200*(R50-1)+1</f>
        <v>2001</v>
      </c>
      <c r="T50" s="23" t="n">
        <f aca="false">1000+200*(R50-1)+Anlagen!F50</f>
        <v>2036</v>
      </c>
      <c r="U50" s="23" t="n">
        <f aca="false">100+A50</f>
        <v>146</v>
      </c>
      <c r="V50" s="23" t="n">
        <f aca="false">200+A50</f>
        <v>246</v>
      </c>
      <c r="W50" s="23" t="n">
        <f aca="false">300+A50</f>
        <v>346</v>
      </c>
      <c r="X50" s="23" t="str">
        <f aca="false">"10."&amp;A50&amp;".1.0/24"</f>
        <v>10.46.1.0/24</v>
      </c>
      <c r="Y50" s="23" t="str">
        <f aca="false">IF(R50&gt;15,"Fehler: VLAN-Block über 15",IF(COUNTIFS($C$5:$C$92,C50,$R$5:$R$92,R50)&gt;1,"Fehler: VLAN-Block am Standort doppelt",IF(COUNTIF($Q$5:$Q$92,Q50)&gt;1,"Fehler: Kürzel doppelt",IF(Anlagen!F50&gt;199,"Fehler: mehr als 199 Parzellen","OK"))))</f>
        <v>OK</v>
      </c>
    </row>
    <row r="51" customFormat="false" ht="15" hidden="false" customHeight="false" outlineLevel="0" collapsed="false">
      <c r="A51" s="23" t="n">
        <f aca="false">Anlagen!A51</f>
        <v>47</v>
      </c>
      <c r="B51" s="23" t="str">
        <f aca="false">Anlagen!B51</f>
        <v>Harmonie</v>
      </c>
      <c r="C51" s="23" t="n">
        <f aca="false">IF(Anlagen!S51&lt;&gt;"",Anlagen!S51,IF(Vorschlag_nutzen=1,Anlagen!Q51,A51))</f>
        <v>30</v>
      </c>
      <c r="D51" s="23" t="n">
        <f aca="false">IF(C51=A51,"",IF(Anlagen!T51&lt;&gt;"",Anlagen!T51,IF(AND(Anlagen!S51="",Vorschlag_nutzen=1,Anlagen!R51&lt;&gt;""),Anlagen!R51,C51)))</f>
        <v>3</v>
      </c>
      <c r="E51" s="23" t="str">
        <f aca="false">IF(C51=A51,IF(COUNTIF($C$5:$C$92,A51)&gt;1,"Gateway-Standort","eigenständig"),"über "&amp;IFERROR(INDEX(Anlagen!$B$5:$B$92,MATCH(D51,Anlagen!$A$5:$A$92,0)),"?"))</f>
        <v>über Abendrot</v>
      </c>
      <c r="F51" s="36" t="n">
        <f aca="false">IF(C51=A51,0,IF(Anlagen!V51&lt;&gt;"",Anlagen!V51/1000,IFERROR(SQRT((Anlagen!N51-INDEX(Anlagen!$N$5:$N$92,MATCH(D51,Anlagen!$A$5:$A$92,0)))^2+(Anlagen!O51-INDEX(Anlagen!$O$5:$O$92,MATCH(D51,Anlagen!$A$5:$A$92,0)))^2),0)))</f>
        <v>0.511566222497147</v>
      </c>
      <c r="G51" s="37" t="n">
        <f aca="false">IF(C51=A51,0,IF(Anlagen!V51&lt;&gt;"",Anlagen!V51,F51*1000*Umweg))</f>
        <v>665.036089246292</v>
      </c>
      <c r="H51" s="38" t="n">
        <f aca="false">IF(C51=A51,0,(G51*(P_Faser+P_Tiefbau)+2*P_SFP+P_MontZul)*EK)</f>
        <v>1417.71141930463</v>
      </c>
      <c r="I51" s="38" t="n">
        <f aca="false">IF(C51=A51,0,(P_Saeule+P_Flex+P_NT+P_Halter+P_Luefter+P_Spleiss+P_Ueber)*EK)</f>
        <v>851.326</v>
      </c>
      <c r="J51" s="23" t="n">
        <f aca="false">IF(Anlagen!U51&lt;&gt;"",Anlagen!U51,IF(C51=A51,500,1000)+ROW())</f>
        <v>1051</v>
      </c>
      <c r="K51" s="37" t="n">
        <f aca="false">SUMIFS(Anlagen!$F$5:$F$92,$C$5:$C$92,C51,$J$5:$J$92,"&lt;"&amp;J51)</f>
        <v>486</v>
      </c>
      <c r="L51" s="23" t="n">
        <f aca="false">INT(K51/PG)+1</f>
        <v>9</v>
      </c>
      <c r="M51" s="23" t="n">
        <f aca="false">MAX(L51,CEILING((K51+Anlagen!F51)/PG,1))</f>
        <v>10</v>
      </c>
      <c r="N51" s="23" t="str">
        <f aca="false">IFERROR(INDEX(Anlagen!$B$5:$B$92,MATCH(C51,Anlagen!$A$5:$A$92,0)),"?")&amp;": GW "&amp;L51&amp;IF(M51&gt;L51,"–"&amp;M51,"")</f>
        <v>Feierabend: GW 9–10</v>
      </c>
      <c r="O51" s="31" t="n">
        <f aca="false">Buchungsquote!V51</f>
        <v>17.255369928401</v>
      </c>
      <c r="P51" s="23" t="str">
        <f aca="false">IF(ISNA(MATCH(C51,Anlagen!$A$5:$A$92,0)),"Fehler: Standort unbekannt",IF(C51=A51,"OK",IF(INDEX($C$5:$C$92,MATCH(C51,Anlagen!$A$5:$A$92,0))&lt;&gt;C51,"Fehler: Standort hängt selbst an anderem Standort",IF(D51=A51,"Fehler: Zuleitung von sich selbst",IF(ISNA(MATCH(D51,Anlagen!$A$5:$A$92,0)),"Fehler: Zuleitung unbekannt",IF(INDEX($C$5:$C$92,MATCH(D51,Anlagen!$A$5:$A$92,0))&lt;&gt;C51,"Fehler: Zuleitung hängt an anderem Standort","OK"))))))</f>
        <v>OK</v>
      </c>
      <c r="Q51" s="23" t="str">
        <f aca="false">Anlagen!AA51</f>
        <v>HARMO</v>
      </c>
      <c r="R51" s="23" t="n">
        <f aca="false">IF(Anlagen!AB51&lt;&gt;"",Anlagen!AB51,COUNTIFS($C$5:$C$92,C51,$J$5:$J$92,"&lt;"&amp;J51)+1)</f>
        <v>5</v>
      </c>
      <c r="S51" s="23" t="n">
        <f aca="false">1000+200*(R51-1)+1</f>
        <v>1801</v>
      </c>
      <c r="T51" s="23" t="n">
        <f aca="false">1000+200*(R51-1)+Anlagen!F51</f>
        <v>1860</v>
      </c>
      <c r="U51" s="23" t="n">
        <f aca="false">100+A51</f>
        <v>147</v>
      </c>
      <c r="V51" s="23" t="n">
        <f aca="false">200+A51</f>
        <v>247</v>
      </c>
      <c r="W51" s="23" t="n">
        <f aca="false">300+A51</f>
        <v>347</v>
      </c>
      <c r="X51" s="23" t="str">
        <f aca="false">"10."&amp;A51&amp;".1.0/24"</f>
        <v>10.47.1.0/24</v>
      </c>
      <c r="Y51" s="23" t="str">
        <f aca="false">IF(R51&gt;15,"Fehler: VLAN-Block über 15",IF(COUNTIFS($C$5:$C$92,C51,$R$5:$R$92,R51)&gt;1,"Fehler: VLAN-Block am Standort doppelt",IF(COUNTIF($Q$5:$Q$92,Q51)&gt;1,"Fehler: Kürzel doppelt",IF(Anlagen!F51&gt;199,"Fehler: mehr als 199 Parzellen","OK"))))</f>
        <v>OK</v>
      </c>
    </row>
    <row r="52" customFormat="false" ht="15" hidden="false" customHeight="false" outlineLevel="0" collapsed="false">
      <c r="A52" s="23" t="n">
        <f aca="false">Anlagen!A52</f>
        <v>48</v>
      </c>
      <c r="B52" s="23" t="str">
        <f aca="false">Anlagen!B52</f>
        <v>Heidekrug</v>
      </c>
      <c r="C52" s="23" t="n">
        <f aca="false">IF(Anlagen!S52&lt;&gt;"",Anlagen!S52,IF(Vorschlag_nutzen=1,Anlagen!Q52,A52))</f>
        <v>48</v>
      </c>
      <c r="D52" s="23" t="str">
        <f aca="false">IF(C52=A52,"",IF(Anlagen!T52&lt;&gt;"",Anlagen!T52,IF(AND(Anlagen!S52="",Vorschlag_nutzen=1,Anlagen!R52&lt;&gt;""),Anlagen!R52,C52)))</f>
        <v/>
      </c>
      <c r="E52" s="23" t="str">
        <f aca="false">IF(C52=A52,IF(COUNTIF($C$5:$C$92,A52)&gt;1,"Gateway-Standort","eigenständig"),"über "&amp;IFERROR(INDEX(Anlagen!$B$5:$B$92,MATCH(D52,Anlagen!$A$5:$A$92,0)),"?"))</f>
        <v>eigenständig</v>
      </c>
      <c r="F52" s="36" t="n">
        <f aca="false">IF(C52=A52,0,IF(Anlagen!V52&lt;&gt;"",Anlagen!V52/1000,IFERROR(SQRT((Anlagen!N52-INDEX(Anlagen!$N$5:$N$92,MATCH(D52,Anlagen!$A$5:$A$92,0)))^2+(Anlagen!O52-INDEX(Anlagen!$O$5:$O$92,MATCH(D52,Anlagen!$A$5:$A$92,0)))^2),0)))</f>
        <v>0</v>
      </c>
      <c r="G52" s="37" t="n">
        <f aca="false">IF(C52=A52,0,IF(Anlagen!V52&lt;&gt;"",Anlagen!V52,F52*1000*Umweg))</f>
        <v>0</v>
      </c>
      <c r="H52" s="38" t="n">
        <f aca="false">IF(C52=A52,0,(G52*(P_Faser+P_Tiefbau)+2*P_SFP+P_MontZul)*EK)</f>
        <v>0</v>
      </c>
      <c r="I52" s="38" t="n">
        <f aca="false">IF(C52=A52,0,(P_Saeule+P_Flex+P_NT+P_Halter+P_Luefter+P_Spleiss+P_Ueber)*EK)</f>
        <v>0</v>
      </c>
      <c r="J52" s="23" t="n">
        <f aca="false">IF(Anlagen!U52&lt;&gt;"",Anlagen!U52,IF(C52=A52,500,1000)+ROW())</f>
        <v>552</v>
      </c>
      <c r="K52" s="37" t="n">
        <f aca="false">SUMIFS(Anlagen!$F$5:$F$92,$C$5:$C$92,C52,$J$5:$J$92,"&lt;"&amp;J52)</f>
        <v>0</v>
      </c>
      <c r="L52" s="23" t="n">
        <f aca="false">INT(K52/PG)+1</f>
        <v>1</v>
      </c>
      <c r="M52" s="23" t="n">
        <f aca="false">MAX(L52,CEILING((K52+Anlagen!F52)/PG,1))</f>
        <v>1</v>
      </c>
      <c r="N52" s="23" t="str">
        <f aca="false">IFERROR(INDEX(Anlagen!$B$5:$B$92,MATCH(C52,Anlagen!$A$5:$A$92,0)),"?")&amp;": GW "&amp;L52&amp;IF(M52&gt;L52,"–"&amp;M52,"")</f>
        <v>Heidekrug: GW 1</v>
      </c>
      <c r="O52" s="31" t="n">
        <f aca="false">Buchungsquote!V52</f>
        <v>19.2307860262009</v>
      </c>
      <c r="P52" s="23" t="str">
        <f aca="false">IF(ISNA(MATCH(C52,Anlagen!$A$5:$A$92,0)),"Fehler: Standort unbekannt",IF(C52=A52,"OK",IF(INDEX($C$5:$C$92,MATCH(C52,Anlagen!$A$5:$A$92,0))&lt;&gt;C52,"Fehler: Standort hängt selbst an anderem Standort",IF(D52=A52,"Fehler: Zuleitung von sich selbst",IF(ISNA(MATCH(D52,Anlagen!$A$5:$A$92,0)),"Fehler: Zuleitung unbekannt",IF(INDEX($C$5:$C$92,MATCH(D52,Anlagen!$A$5:$A$92,0))&lt;&gt;C52,"Fehler: Zuleitung hängt an anderem Standort","OK"))))))</f>
        <v>OK</v>
      </c>
      <c r="Q52" s="23" t="str">
        <f aca="false">Anlagen!AA52</f>
        <v>HEIDE</v>
      </c>
      <c r="R52" s="23" t="n">
        <f aca="false">IF(Anlagen!AB52&lt;&gt;"",Anlagen!AB52,COUNTIFS($C$5:$C$92,C52,$J$5:$J$92,"&lt;"&amp;J52)+1)</f>
        <v>1</v>
      </c>
      <c r="S52" s="23" t="n">
        <f aca="false">1000+200*(R52-1)+1</f>
        <v>1001</v>
      </c>
      <c r="T52" s="23" t="n">
        <f aca="false">1000+200*(R52-1)+Anlagen!F52</f>
        <v>1034</v>
      </c>
      <c r="U52" s="23" t="n">
        <f aca="false">100+A52</f>
        <v>148</v>
      </c>
      <c r="V52" s="23" t="n">
        <f aca="false">200+A52</f>
        <v>248</v>
      </c>
      <c r="W52" s="23" t="n">
        <f aca="false">300+A52</f>
        <v>348</v>
      </c>
      <c r="X52" s="23" t="str">
        <f aca="false">"10."&amp;A52&amp;".1.0/24"</f>
        <v>10.48.1.0/24</v>
      </c>
      <c r="Y52" s="23" t="str">
        <f aca="false">IF(R52&gt;15,"Fehler: VLAN-Block über 15",IF(COUNTIFS($C$5:$C$92,C52,$R$5:$R$92,R52)&gt;1,"Fehler: VLAN-Block am Standort doppelt",IF(COUNTIF($Q$5:$Q$92,Q52)&gt;1,"Fehler: Kürzel doppelt",IF(Anlagen!F52&gt;199,"Fehler: mehr als 199 Parzellen","OK"))))</f>
        <v>OK</v>
      </c>
    </row>
    <row r="53" customFormat="false" ht="15" hidden="false" customHeight="false" outlineLevel="0" collapsed="false">
      <c r="A53" s="23" t="n">
        <f aca="false">Anlagen!A53</f>
        <v>49</v>
      </c>
      <c r="B53" s="23" t="str">
        <f aca="false">Anlagen!B53</f>
        <v>Helgoland</v>
      </c>
      <c r="C53" s="23" t="n">
        <f aca="false">IF(Anlagen!S53&lt;&gt;"",Anlagen!S53,IF(Vorschlag_nutzen=1,Anlagen!Q53,A53))</f>
        <v>49</v>
      </c>
      <c r="D53" s="23" t="str">
        <f aca="false">IF(C53=A53,"",IF(Anlagen!T53&lt;&gt;"",Anlagen!T53,IF(AND(Anlagen!S53="",Vorschlag_nutzen=1,Anlagen!R53&lt;&gt;""),Anlagen!R53,C53)))</f>
        <v/>
      </c>
      <c r="E53" s="23" t="str">
        <f aca="false">IF(C53=A53,IF(COUNTIF($C$5:$C$92,A53)&gt;1,"Gateway-Standort","eigenständig"),"über "&amp;IFERROR(INDEX(Anlagen!$B$5:$B$92,MATCH(D53,Anlagen!$A$5:$A$92,0)),"?"))</f>
        <v>Gateway-Standort</v>
      </c>
      <c r="F53" s="36" t="n">
        <f aca="false">IF(C53=A53,0,IF(Anlagen!V53&lt;&gt;"",Anlagen!V53/1000,IFERROR(SQRT((Anlagen!N53-INDEX(Anlagen!$N$5:$N$92,MATCH(D53,Anlagen!$A$5:$A$92,0)))^2+(Anlagen!O53-INDEX(Anlagen!$O$5:$O$92,MATCH(D53,Anlagen!$A$5:$A$92,0)))^2),0)))</f>
        <v>0</v>
      </c>
      <c r="G53" s="37" t="n">
        <f aca="false">IF(C53=A53,0,IF(Anlagen!V53&lt;&gt;"",Anlagen!V53,F53*1000*Umweg))</f>
        <v>0</v>
      </c>
      <c r="H53" s="38" t="n">
        <f aca="false">IF(C53=A53,0,(G53*(P_Faser+P_Tiefbau)+2*P_SFP+P_MontZul)*EK)</f>
        <v>0</v>
      </c>
      <c r="I53" s="38" t="n">
        <f aca="false">IF(C53=A53,0,(P_Saeule+P_Flex+P_NT+P_Halter+P_Luefter+P_Spleiss+P_Ueber)*EK)</f>
        <v>0</v>
      </c>
      <c r="J53" s="23" t="n">
        <f aca="false">IF(Anlagen!U53&lt;&gt;"",Anlagen!U53,IF(C53=A53,500,1000)+ROW())</f>
        <v>553</v>
      </c>
      <c r="K53" s="37" t="n">
        <f aca="false">SUMIFS(Anlagen!$F$5:$F$92,$C$5:$C$92,C53,$J$5:$J$92,"&lt;"&amp;J53)</f>
        <v>0</v>
      </c>
      <c r="L53" s="23" t="n">
        <f aca="false">INT(K53/PG)+1</f>
        <v>1</v>
      </c>
      <c r="M53" s="23" t="n">
        <f aca="false">MAX(L53,CEILING((K53+Anlagen!F53)/PG,1))</f>
        <v>2</v>
      </c>
      <c r="N53" s="23" t="str">
        <f aca="false">IFERROR(INDEX(Anlagen!$B$5:$B$92,MATCH(C53,Anlagen!$A$5:$A$92,0)),"?")&amp;": GW "&amp;L53&amp;IF(M53&gt;L53,"–"&amp;M53,"")</f>
        <v>Helgoland: GW 1–2</v>
      </c>
      <c r="O53" s="31" t="n">
        <f aca="false">Buchungsquote!V53</f>
        <v>66.1889943074004</v>
      </c>
      <c r="P53" s="23" t="str">
        <f aca="false">IF(ISNA(MATCH(C53,Anlagen!$A$5:$A$92,0)),"Fehler: Standort unbekannt",IF(C53=A53,"OK",IF(INDEX($C$5:$C$92,MATCH(C53,Anlagen!$A$5:$A$92,0))&lt;&gt;C53,"Fehler: Standort hängt selbst an anderem Standort",IF(D53=A53,"Fehler: Zuleitung von sich selbst",IF(ISNA(MATCH(D53,Anlagen!$A$5:$A$92,0)),"Fehler: Zuleitung unbekannt",IF(INDEX($C$5:$C$92,MATCH(D53,Anlagen!$A$5:$A$92,0))&lt;&gt;C53,"Fehler: Zuleitung hängt an anderem Standort","OK"))))))</f>
        <v>OK</v>
      </c>
      <c r="Q53" s="23" t="str">
        <f aca="false">Anlagen!AA53</f>
        <v>HELGO</v>
      </c>
      <c r="R53" s="23" t="n">
        <f aca="false">IF(Anlagen!AB53&lt;&gt;"",Anlagen!AB53,COUNTIFS($C$5:$C$92,C53,$J$5:$J$92,"&lt;"&amp;J53)+1)</f>
        <v>1</v>
      </c>
      <c r="S53" s="23" t="n">
        <f aca="false">1000+200*(R53-1)+1</f>
        <v>1001</v>
      </c>
      <c r="T53" s="23" t="n">
        <f aca="false">1000+200*(R53-1)+Anlagen!F53</f>
        <v>1110</v>
      </c>
      <c r="U53" s="23" t="n">
        <f aca="false">100+A53</f>
        <v>149</v>
      </c>
      <c r="V53" s="23" t="n">
        <f aca="false">200+A53</f>
        <v>249</v>
      </c>
      <c r="W53" s="23" t="n">
        <f aca="false">300+A53</f>
        <v>349</v>
      </c>
      <c r="X53" s="23" t="str">
        <f aca="false">"10."&amp;A53&amp;".1.0/24"</f>
        <v>10.49.1.0/24</v>
      </c>
      <c r="Y53" s="23" t="str">
        <f aca="false">IF(R53&gt;15,"Fehler: VLAN-Block über 15",IF(COUNTIFS($C$5:$C$92,C53,$R$5:$R$92,R53)&gt;1,"Fehler: VLAN-Block am Standort doppelt",IF(COUNTIF($Q$5:$Q$92,Q53)&gt;1,"Fehler: Kürzel doppelt",IF(Anlagen!F53&gt;199,"Fehler: mehr als 199 Parzellen","OK"))))</f>
        <v>OK</v>
      </c>
    </row>
    <row r="54" customFormat="false" ht="15" hidden="false" customHeight="false" outlineLevel="0" collapsed="false">
      <c r="A54" s="23" t="n">
        <f aca="false">Anlagen!A54</f>
        <v>50</v>
      </c>
      <c r="B54" s="23" t="str">
        <f aca="false">Anlagen!B54</f>
        <v>Hoffnung</v>
      </c>
      <c r="C54" s="23" t="n">
        <f aca="false">IF(Anlagen!S54&lt;&gt;"",Anlagen!S54,IF(Vorschlag_nutzen=1,Anlagen!Q54,A54))</f>
        <v>49</v>
      </c>
      <c r="D54" s="23" t="n">
        <f aca="false">IF(C54=A54,"",IF(Anlagen!T54&lt;&gt;"",Anlagen!T54,IF(AND(Anlagen!S54="",Vorschlag_nutzen=1,Anlagen!R54&lt;&gt;""),Anlagen!R54,C54)))</f>
        <v>65</v>
      </c>
      <c r="E54" s="23" t="str">
        <f aca="false">IF(C54=A54,IF(COUNTIF($C$5:$C$92,A54)&gt;1,"Gateway-Standort","eigenständig"),"über "&amp;IFERROR(INDEX(Anlagen!$B$5:$B$92,MATCH(D54,Anlagen!$A$5:$A$92,0)),"?"))</f>
        <v>über Neu-Sanssouci</v>
      </c>
      <c r="F54" s="36" t="n">
        <f aca="false">IF(C54=A54,0,IF(Anlagen!V54&lt;&gt;"",Anlagen!V54/1000,IFERROR(SQRT((Anlagen!N54-INDEX(Anlagen!$N$5:$N$92,MATCH(D54,Anlagen!$A$5:$A$92,0)))^2+(Anlagen!O54-INDEX(Anlagen!$O$5:$O$92,MATCH(D54,Anlagen!$A$5:$A$92,0)))^2),0)))</f>
        <v>0.254950975679639</v>
      </c>
      <c r="G54" s="37" t="n">
        <f aca="false">IF(C54=A54,0,IF(Anlagen!V54&lt;&gt;"",Anlagen!V54,F54*1000*Umweg))</f>
        <v>331.436268383531</v>
      </c>
      <c r="H54" s="38" t="n">
        <f aca="false">IF(C54=A54,0,(G54*(P_Faser+P_Tiefbau)+2*P_SFP+P_MontZul)*EK)</f>
        <v>822.235739064603</v>
      </c>
      <c r="I54" s="38" t="n">
        <f aca="false">IF(C54=A54,0,(P_Saeule+P_Flex+P_NT+P_Halter+P_Luefter+P_Spleiss+P_Ueber)*EK)</f>
        <v>851.326</v>
      </c>
      <c r="J54" s="23" t="n">
        <f aca="false">IF(Anlagen!U54&lt;&gt;"",Anlagen!U54,IF(C54=A54,500,1000)+ROW())</f>
        <v>1054</v>
      </c>
      <c r="K54" s="37" t="n">
        <f aca="false">SUMIFS(Anlagen!$F$5:$F$92,$C$5:$C$92,C54,$J$5:$J$92,"&lt;"&amp;J54)</f>
        <v>317</v>
      </c>
      <c r="L54" s="23" t="n">
        <f aca="false">INT(K54/PG)+1</f>
        <v>6</v>
      </c>
      <c r="M54" s="23" t="n">
        <f aca="false">MAX(L54,CEILING((K54+Anlagen!F54)/PG,1))</f>
        <v>6</v>
      </c>
      <c r="N54" s="23" t="str">
        <f aca="false">IFERROR(INDEX(Anlagen!$B$5:$B$92,MATCH(C54,Anlagen!$A$5:$A$92,0)),"?")&amp;": GW "&amp;L54&amp;IF(M54&gt;L54,"–"&amp;M54,"")</f>
        <v>Helgoland: GW 6</v>
      </c>
      <c r="O54" s="31" t="n">
        <f aca="false">Buchungsquote!V54</f>
        <v>3.73448275862069</v>
      </c>
      <c r="P54" s="23" t="str">
        <f aca="false">IF(ISNA(MATCH(C54,Anlagen!$A$5:$A$92,0)),"Fehler: Standort unbekannt",IF(C54=A54,"OK",IF(INDEX($C$5:$C$92,MATCH(C54,Anlagen!$A$5:$A$92,0))&lt;&gt;C54,"Fehler: Standort hängt selbst an anderem Standort",IF(D54=A54,"Fehler: Zuleitung von sich selbst",IF(ISNA(MATCH(D54,Anlagen!$A$5:$A$92,0)),"Fehler: Zuleitung unbekannt",IF(INDEX($C$5:$C$92,MATCH(D54,Anlagen!$A$5:$A$92,0))&lt;&gt;C54,"Fehler: Zuleitung hängt an anderem Standort","OK"))))))</f>
        <v>OK</v>
      </c>
      <c r="Q54" s="23" t="str">
        <f aca="false">Anlagen!AA54</f>
        <v>HOFFN</v>
      </c>
      <c r="R54" s="23" t="n">
        <f aca="false">IF(Anlagen!AB54&lt;&gt;"",Anlagen!AB54,COUNTIFS($C$5:$C$92,C54,$J$5:$J$92,"&lt;"&amp;J54)+1)</f>
        <v>6</v>
      </c>
      <c r="S54" s="23" t="n">
        <f aca="false">1000+200*(R54-1)+1</f>
        <v>2001</v>
      </c>
      <c r="T54" s="23" t="n">
        <f aca="false">1000+200*(R54-1)+Anlagen!F54</f>
        <v>2007</v>
      </c>
      <c r="U54" s="23" t="n">
        <f aca="false">100+A54</f>
        <v>150</v>
      </c>
      <c r="V54" s="23" t="n">
        <f aca="false">200+A54</f>
        <v>250</v>
      </c>
      <c r="W54" s="23" t="n">
        <f aca="false">300+A54</f>
        <v>350</v>
      </c>
      <c r="X54" s="23" t="str">
        <f aca="false">"10."&amp;A54&amp;".1.0/24"</f>
        <v>10.50.1.0/24</v>
      </c>
      <c r="Y54" s="23" t="str">
        <f aca="false">IF(R54&gt;15,"Fehler: VLAN-Block über 15",IF(COUNTIFS($C$5:$C$92,C54,$R$5:$R$92,R54)&gt;1,"Fehler: VLAN-Block am Standort doppelt",IF(COUNTIF($Q$5:$Q$92,Q54)&gt;1,"Fehler: Kürzel doppelt",IF(Anlagen!F54&gt;199,"Fehler: mehr als 199 Parzellen","OK"))))</f>
        <v>OK</v>
      </c>
    </row>
    <row r="55" customFormat="false" ht="15" hidden="false" customHeight="false" outlineLevel="0" collapsed="false">
      <c r="A55" s="23" t="n">
        <f aca="false">Anlagen!A55</f>
        <v>51</v>
      </c>
      <c r="B55" s="23" t="str">
        <f aca="false">Anlagen!B55</f>
        <v>Holland</v>
      </c>
      <c r="C55" s="23" t="n">
        <f aca="false">IF(Anlagen!S55&lt;&gt;"",Anlagen!S55,IF(Vorschlag_nutzen=1,Anlagen!Q55,A55))</f>
        <v>56</v>
      </c>
      <c r="D55" s="23" t="n">
        <f aca="false">IF(C55=A55,"",IF(Anlagen!T55&lt;&gt;"",Anlagen!T55,IF(AND(Anlagen!S55="",Vorschlag_nutzen=1,Anlagen!R55&lt;&gt;""),Anlagen!R55,C55)))</f>
        <v>44</v>
      </c>
      <c r="E55" s="23" t="str">
        <f aca="false">IF(C55=A55,IF(COUNTIF($C$5:$C$92,A55)&gt;1,"Gateway-Standort","eigenständig"),"über "&amp;IFERROR(INDEX(Anlagen!$B$5:$B$92,MATCH(D55,Anlagen!$A$5:$A$92,0)),"?"))</f>
        <v>über Grünes Heim</v>
      </c>
      <c r="F55" s="36" t="n">
        <f aca="false">IF(C55=A55,0,IF(Anlagen!V55&lt;&gt;"",Anlagen!V55/1000,IFERROR(SQRT((Anlagen!N55-INDEX(Anlagen!$N$5:$N$92,MATCH(D55,Anlagen!$A$5:$A$92,0)))^2+(Anlagen!O55-INDEX(Anlagen!$O$5:$O$92,MATCH(D55,Anlagen!$A$5:$A$92,0)))^2),0)))</f>
        <v>0.280178514522437</v>
      </c>
      <c r="G55" s="37" t="n">
        <f aca="false">IF(C55=A55,0,IF(Anlagen!V55&lt;&gt;"",Anlagen!V55,F55*1000*Umweg))</f>
        <v>364.232068879168</v>
      </c>
      <c r="H55" s="38" t="n">
        <f aca="false">IF(C55=A55,0,(G55*(P_Faser+P_Tiefbau)+2*P_SFP+P_MontZul)*EK)</f>
        <v>880.776242949315</v>
      </c>
      <c r="I55" s="38" t="n">
        <f aca="false">IF(C55=A55,0,(P_Saeule+P_Flex+P_NT+P_Halter+P_Luefter+P_Spleiss+P_Ueber)*EK)</f>
        <v>851.326</v>
      </c>
      <c r="J55" s="23" t="n">
        <f aca="false">IF(Anlagen!U55&lt;&gt;"",Anlagen!U55,IF(C55=A55,500,1000)+ROW())</f>
        <v>1055</v>
      </c>
      <c r="K55" s="37" t="n">
        <f aca="false">SUMIFS(Anlagen!$F$5:$F$92,$C$5:$C$92,C55,$J$5:$J$92,"&lt;"&amp;J55)</f>
        <v>84</v>
      </c>
      <c r="L55" s="23" t="n">
        <f aca="false">INT(K55/PG)+1</f>
        <v>2</v>
      </c>
      <c r="M55" s="23" t="n">
        <f aca="false">MAX(L55,CEILING((K55+Anlagen!F55)/PG,1))</f>
        <v>2</v>
      </c>
      <c r="N55" s="23" t="str">
        <f aca="false">IFERROR(INDEX(Anlagen!$B$5:$B$92,MATCH(C55,Anlagen!$A$5:$A$92,0)),"?")&amp;": GW "&amp;L55&amp;IF(M55&gt;L55,"–"&amp;M55,"")</f>
        <v>Kammgarn: GW 2</v>
      </c>
      <c r="O55" s="31" t="n">
        <f aca="false">Buchungsquote!V55</f>
        <v>5.58181818181818</v>
      </c>
      <c r="P55" s="23" t="str">
        <f aca="false">IF(ISNA(MATCH(C55,Anlagen!$A$5:$A$92,0)),"Fehler: Standort unbekannt",IF(C55=A55,"OK",IF(INDEX($C$5:$C$92,MATCH(C55,Anlagen!$A$5:$A$92,0))&lt;&gt;C55,"Fehler: Standort hängt selbst an anderem Standort",IF(D55=A55,"Fehler: Zuleitung von sich selbst",IF(ISNA(MATCH(D55,Anlagen!$A$5:$A$92,0)),"Fehler: Zuleitung unbekannt",IF(INDEX($C$5:$C$92,MATCH(D55,Anlagen!$A$5:$A$92,0))&lt;&gt;C55,"Fehler: Zuleitung hängt an anderem Standort","OK"))))))</f>
        <v>OK</v>
      </c>
      <c r="Q55" s="23" t="str">
        <f aca="false">Anlagen!AA55</f>
        <v>HOLL</v>
      </c>
      <c r="R55" s="23" t="n">
        <f aca="false">IF(Anlagen!AB55&lt;&gt;"",Anlagen!AB55,COUNTIFS($C$5:$C$92,C55,$J$5:$J$92,"&lt;"&amp;J55)+1)</f>
        <v>5</v>
      </c>
      <c r="S55" s="23" t="n">
        <f aca="false">1000+200*(R55-1)+1</f>
        <v>1801</v>
      </c>
      <c r="T55" s="23" t="n">
        <f aca="false">1000+200*(R55-1)+Anlagen!F55</f>
        <v>1809</v>
      </c>
      <c r="U55" s="23" t="n">
        <f aca="false">100+A55</f>
        <v>151</v>
      </c>
      <c r="V55" s="23" t="n">
        <f aca="false">200+A55</f>
        <v>251</v>
      </c>
      <c r="W55" s="23" t="n">
        <f aca="false">300+A55</f>
        <v>351</v>
      </c>
      <c r="X55" s="23" t="str">
        <f aca="false">"10."&amp;A55&amp;".1.0/24"</f>
        <v>10.51.1.0/24</v>
      </c>
      <c r="Y55" s="23" t="str">
        <f aca="false">IF(R55&gt;15,"Fehler: VLAN-Block über 15",IF(COUNTIFS($C$5:$C$92,C55,$R$5:$R$92,R55)&gt;1,"Fehler: VLAN-Block am Standort doppelt",IF(COUNTIF($Q$5:$Q$92,Q55)&gt;1,"Fehler: Kürzel doppelt",IF(Anlagen!F55&gt;199,"Fehler: mehr als 199 Parzellen","OK"))))</f>
        <v>OK</v>
      </c>
    </row>
    <row r="56" customFormat="false" ht="15" hidden="false" customHeight="false" outlineLevel="0" collapsed="false">
      <c r="A56" s="23" t="n">
        <f aca="false">Anlagen!A56</f>
        <v>52</v>
      </c>
      <c r="B56" s="23" t="str">
        <f aca="false">Anlagen!B56</f>
        <v>Im Mittelbruch I</v>
      </c>
      <c r="C56" s="23" t="n">
        <f aca="false">IF(Anlagen!S56&lt;&gt;"",Anlagen!S56,IF(Vorschlag_nutzen=1,Anlagen!Q56,A56))</f>
        <v>85</v>
      </c>
      <c r="D56" s="23" t="n">
        <f aca="false">IF(C56=A56,"",IF(Anlagen!T56&lt;&gt;"",Anlagen!T56,IF(AND(Anlagen!S56="",Vorschlag_nutzen=1,Anlagen!R56&lt;&gt;""),Anlagen!R56,C56)))</f>
        <v>61</v>
      </c>
      <c r="E56" s="23" t="str">
        <f aca="false">IF(C56=A56,IF(COUNTIF($C$5:$C$92,A56)&gt;1,"Gateway-Standort","eigenständig"),"über "&amp;IFERROR(INDEX(Anlagen!$B$5:$B$92,MATCH(D56,Anlagen!$A$5:$A$92,0)),"?"))</f>
        <v>über Märkische Aue</v>
      </c>
      <c r="F56" s="36" t="n">
        <f aca="false">IF(C56=A56,0,IF(Anlagen!V56&lt;&gt;"",Anlagen!V56/1000,IFERROR(SQRT((Anlagen!N56-INDEX(Anlagen!$N$5:$N$92,MATCH(D56,Anlagen!$A$5:$A$92,0)))^2+(Anlagen!O56-INDEX(Anlagen!$O$5:$O$92,MATCH(D56,Anlagen!$A$5:$A$92,0)))^2),0)))</f>
        <v>0.454862616621767</v>
      </c>
      <c r="G56" s="37" t="n">
        <f aca="false">IF(C56=A56,0,IF(Anlagen!V56&lt;&gt;"",Anlagen!V56,F56*1000*Umweg))</f>
        <v>591.321401608297</v>
      </c>
      <c r="H56" s="38" t="n">
        <f aca="false">IF(C56=A56,0,(G56*(P_Faser+P_Tiefbau)+2*P_SFP+P_MontZul)*EK)</f>
        <v>1286.13070187081</v>
      </c>
      <c r="I56" s="38" t="n">
        <f aca="false">IF(C56=A56,0,(P_Saeule+P_Flex+P_NT+P_Halter+P_Luefter+P_Spleiss+P_Ueber)*EK)</f>
        <v>851.326</v>
      </c>
      <c r="J56" s="23" t="n">
        <f aca="false">IF(Anlagen!U56&lt;&gt;"",Anlagen!U56,IF(C56=A56,500,1000)+ROW())</f>
        <v>1056</v>
      </c>
      <c r="K56" s="37" t="n">
        <f aca="false">SUMIFS(Anlagen!$F$5:$F$92,$C$5:$C$92,C56,$J$5:$J$92,"&lt;"&amp;J56)</f>
        <v>85</v>
      </c>
      <c r="L56" s="23" t="n">
        <f aca="false">INT(K56/PG)+1</f>
        <v>2</v>
      </c>
      <c r="M56" s="23" t="n">
        <f aca="false">MAX(L56,CEILING((K56+Anlagen!F56)/PG,1))</f>
        <v>3</v>
      </c>
      <c r="N56" s="23" t="str">
        <f aca="false">IFERROR(INDEX(Anlagen!$B$5:$B$92,MATCH(C56,Anlagen!$A$5:$A$92,0)),"?")&amp;": GW "&amp;L56&amp;IF(M56&gt;L56,"–"&amp;M56,"")</f>
        <v>Zukunft: GW 2–3</v>
      </c>
      <c r="O56" s="31" t="n">
        <f aca="false">Buchungsquote!V56</f>
        <v>17.1283112582781</v>
      </c>
      <c r="P56" s="23" t="str">
        <f aca="false">IF(ISNA(MATCH(C56,Anlagen!$A$5:$A$92,0)),"Fehler: Standort unbekannt",IF(C56=A56,"OK",IF(INDEX($C$5:$C$92,MATCH(C56,Anlagen!$A$5:$A$92,0))&lt;&gt;C56,"Fehler: Standort hängt selbst an anderem Standort",IF(D56=A56,"Fehler: Zuleitung von sich selbst",IF(ISNA(MATCH(D56,Anlagen!$A$5:$A$92,0)),"Fehler: Zuleitung unbekannt",IF(INDEX($C$5:$C$92,MATCH(D56,Anlagen!$A$5:$A$92,0))&lt;&gt;C56,"Fehler: Zuleitung hängt an anderem Standort","OK"))))))</f>
        <v>OK</v>
      </c>
      <c r="Q56" s="23" t="str">
        <f aca="false">Anlagen!AA56</f>
        <v>MBR1</v>
      </c>
      <c r="R56" s="23" t="n">
        <f aca="false">IF(Anlagen!AB56&lt;&gt;"",Anlagen!AB56,COUNTIFS($C$5:$C$92,C56,$J$5:$J$92,"&lt;"&amp;J56)+1)</f>
        <v>2</v>
      </c>
      <c r="S56" s="23" t="n">
        <f aca="false">1000+200*(R56-1)+1</f>
        <v>1201</v>
      </c>
      <c r="T56" s="23" t="n">
        <f aca="false">1000+200*(R56-1)+Anlagen!F56</f>
        <v>1233</v>
      </c>
      <c r="U56" s="23" t="n">
        <f aca="false">100+A56</f>
        <v>152</v>
      </c>
      <c r="V56" s="23" t="n">
        <f aca="false">200+A56</f>
        <v>252</v>
      </c>
      <c r="W56" s="23" t="n">
        <f aca="false">300+A56</f>
        <v>352</v>
      </c>
      <c r="X56" s="23" t="str">
        <f aca="false">"10."&amp;A56&amp;".1.0/24"</f>
        <v>10.52.1.0/24</v>
      </c>
      <c r="Y56" s="23" t="str">
        <f aca="false">IF(R56&gt;15,"Fehler: VLAN-Block über 15",IF(COUNTIFS($C$5:$C$92,C56,$R$5:$R$92,R56)&gt;1,"Fehler: VLAN-Block am Standort doppelt",IF(COUNTIF($Q$5:$Q$92,Q56)&gt;1,"Fehler: Kürzel doppelt",IF(Anlagen!F56&gt;199,"Fehler: mehr als 199 Parzellen","OK"))))</f>
        <v>OK</v>
      </c>
    </row>
    <row r="57" customFormat="false" ht="15" hidden="false" customHeight="false" outlineLevel="0" collapsed="false">
      <c r="A57" s="23" t="n">
        <f aca="false">Anlagen!A57</f>
        <v>53</v>
      </c>
      <c r="B57" s="23" t="str">
        <f aca="false">Anlagen!B57</f>
        <v>Im Mittelbruch II</v>
      </c>
      <c r="C57" s="23" t="n">
        <f aca="false">IF(Anlagen!S57&lt;&gt;"",Anlagen!S57,IF(Vorschlag_nutzen=1,Anlagen!Q57,A57))</f>
        <v>85</v>
      </c>
      <c r="D57" s="23" t="n">
        <f aca="false">IF(C57=A57,"",IF(Anlagen!T57&lt;&gt;"",Anlagen!T57,IF(AND(Anlagen!S57="",Vorschlag_nutzen=1,Anlagen!R57&lt;&gt;""),Anlagen!R57,C57)))</f>
        <v>61</v>
      </c>
      <c r="E57" s="23" t="str">
        <f aca="false">IF(C57=A57,IF(COUNTIF($C$5:$C$92,A57)&gt;1,"Gateway-Standort","eigenständig"),"über "&amp;IFERROR(INDEX(Anlagen!$B$5:$B$92,MATCH(D57,Anlagen!$A$5:$A$92,0)),"?"))</f>
        <v>über Märkische Aue</v>
      </c>
      <c r="F57" s="36" t="n">
        <f aca="false">IF(C57=A57,0,IF(Anlagen!V57&lt;&gt;"",Anlagen!V57/1000,IFERROR(SQRT((Anlagen!N57-INDEX(Anlagen!$N$5:$N$92,MATCH(D57,Anlagen!$A$5:$A$92,0)))^2+(Anlagen!O57-INDEX(Anlagen!$O$5:$O$92,MATCH(D57,Anlagen!$A$5:$A$92,0)))^2),0)))</f>
        <v>0.483838816136118</v>
      </c>
      <c r="G57" s="37" t="n">
        <f aca="false">IF(C57=A57,0,IF(Anlagen!V57&lt;&gt;"",Anlagen!V57,F57*1000*Umweg))</f>
        <v>628.990460976953</v>
      </c>
      <c r="H57" s="38" t="n">
        <f aca="false">IF(C57=A57,0,(G57*(P_Faser+P_Tiefbau)+2*P_SFP+P_MontZul)*EK)</f>
        <v>1353.36997284386</v>
      </c>
      <c r="I57" s="38" t="n">
        <f aca="false">IF(C57=A57,0,(P_Saeule+P_Flex+P_NT+P_Halter+P_Luefter+P_Spleiss+P_Ueber)*EK)</f>
        <v>851.326</v>
      </c>
      <c r="J57" s="23" t="n">
        <f aca="false">IF(Anlagen!U57&lt;&gt;"",Anlagen!U57,IF(C57=A57,500,1000)+ROW())</f>
        <v>1057</v>
      </c>
      <c r="K57" s="37" t="n">
        <f aca="false">SUMIFS(Anlagen!$F$5:$F$92,$C$5:$C$92,C57,$J$5:$J$92,"&lt;"&amp;J57)</f>
        <v>118</v>
      </c>
      <c r="L57" s="23" t="n">
        <f aca="false">INT(K57/PG)+1</f>
        <v>3</v>
      </c>
      <c r="M57" s="23" t="n">
        <f aca="false">MAX(L57,CEILING((K57+Anlagen!F57)/PG,1))</f>
        <v>3</v>
      </c>
      <c r="N57" s="23" t="str">
        <f aca="false">IFERROR(INDEX(Anlagen!$B$5:$B$92,MATCH(C57,Anlagen!$A$5:$A$92,0)),"?")&amp;": GW "&amp;L57&amp;IF(M57&gt;L57,"–"&amp;M57,"")</f>
        <v>Zukunft: GW 3</v>
      </c>
      <c r="O57" s="31" t="n">
        <f aca="false">Buchungsquote!V57</f>
        <v>22.933125</v>
      </c>
      <c r="P57" s="23" t="str">
        <f aca="false">IF(ISNA(MATCH(C57,Anlagen!$A$5:$A$92,0)),"Fehler: Standort unbekannt",IF(C57=A57,"OK",IF(INDEX($C$5:$C$92,MATCH(C57,Anlagen!$A$5:$A$92,0))&lt;&gt;C57,"Fehler: Standort hängt selbst an anderem Standort",IF(D57=A57,"Fehler: Zuleitung von sich selbst",IF(ISNA(MATCH(D57,Anlagen!$A$5:$A$92,0)),"Fehler: Zuleitung unbekannt",IF(INDEX($C$5:$C$92,MATCH(D57,Anlagen!$A$5:$A$92,0))&lt;&gt;C57,"Fehler: Zuleitung hängt an anderem Standort","OK"))))))</f>
        <v>OK</v>
      </c>
      <c r="Q57" s="23" t="str">
        <f aca="false">Anlagen!AA57</f>
        <v>MBR2</v>
      </c>
      <c r="R57" s="23" t="n">
        <f aca="false">IF(Anlagen!AB57&lt;&gt;"",Anlagen!AB57,COUNTIFS($C$5:$C$92,C57,$J$5:$J$92,"&lt;"&amp;J57)+1)</f>
        <v>3</v>
      </c>
      <c r="S57" s="23" t="n">
        <f aca="false">1000+200*(R57-1)+1</f>
        <v>1401</v>
      </c>
      <c r="T57" s="23" t="n">
        <f aca="false">1000+200*(R57-1)+Anlagen!F57</f>
        <v>1447</v>
      </c>
      <c r="U57" s="23" t="n">
        <f aca="false">100+A57</f>
        <v>153</v>
      </c>
      <c r="V57" s="23" t="n">
        <f aca="false">200+A57</f>
        <v>253</v>
      </c>
      <c r="W57" s="23" t="n">
        <f aca="false">300+A57</f>
        <v>353</v>
      </c>
      <c r="X57" s="23" t="str">
        <f aca="false">"10."&amp;A57&amp;".1.0/24"</f>
        <v>10.53.1.0/24</v>
      </c>
      <c r="Y57" s="23" t="str">
        <f aca="false">IF(R57&gt;15,"Fehler: VLAN-Block über 15",IF(COUNTIFS($C$5:$C$92,C57,$R$5:$R$92,R57)&gt;1,"Fehler: VLAN-Block am Standort doppelt",IF(COUNTIF($Q$5:$Q$92,Q57)&gt;1,"Fehler: Kürzel doppelt",IF(Anlagen!F57&gt;199,"Fehler: mehr als 199 Parzellen","OK"))))</f>
        <v>OK</v>
      </c>
    </row>
    <row r="58" customFormat="false" ht="15" hidden="false" customHeight="false" outlineLevel="0" collapsed="false">
      <c r="A58" s="23" t="n">
        <f aca="false">Anlagen!A58</f>
        <v>54</v>
      </c>
      <c r="B58" s="23" t="str">
        <f aca="false">Anlagen!B58</f>
        <v>Immergrün</v>
      </c>
      <c r="C58" s="23" t="n">
        <f aca="false">IF(Anlagen!S58&lt;&gt;"",Anlagen!S58,IF(Vorschlag_nutzen=1,Anlagen!Q58,A58))</f>
        <v>28</v>
      </c>
      <c r="D58" s="23" t="n">
        <f aca="false">IF(C58=A58,"",IF(Anlagen!T58&lt;&gt;"",Anlagen!T58,IF(AND(Anlagen!S58="",Vorschlag_nutzen=1,Anlagen!R58&lt;&gt;""),Anlagen!R58,C58)))</f>
        <v>29</v>
      </c>
      <c r="E58" s="23" t="str">
        <f aca="false">IF(C58=A58,IF(COUNTIF($C$5:$C$92,A58)&gt;1,"Gateway-Standort","eigenständig"),"über "&amp;IFERROR(INDEX(Anlagen!$B$5:$B$92,MATCH(D58,Anlagen!$A$5:$A$92,0)),"?"))</f>
        <v>über Erntesegen</v>
      </c>
      <c r="F58" s="36" t="n">
        <f aca="false">IF(C58=A58,0,IF(Anlagen!V58&lt;&gt;"",Anlagen!V58/1000,IFERROR(SQRT((Anlagen!N58-INDEX(Anlagen!$N$5:$N$92,MATCH(D58,Anlagen!$A$5:$A$92,0)))^2+(Anlagen!O58-INDEX(Anlagen!$O$5:$O$92,MATCH(D58,Anlagen!$A$5:$A$92,0)))^2),0)))</f>
        <v>1.01833196944808</v>
      </c>
      <c r="G58" s="37" t="n">
        <f aca="false">IF(C58=A58,0,IF(Anlagen!V58&lt;&gt;"",Anlagen!V58,F58*1000*Umweg))</f>
        <v>1323.8315602825</v>
      </c>
      <c r="H58" s="38" t="n">
        <f aca="false">IF(C58=A58,0,(G58*(P_Faser+P_Tiefbau)+2*P_SFP+P_MontZul)*EK)</f>
        <v>2593.66133510426</v>
      </c>
      <c r="I58" s="38" t="n">
        <f aca="false">IF(C58=A58,0,(P_Saeule+P_Flex+P_NT+P_Halter+P_Luefter+P_Spleiss+P_Ueber)*EK)</f>
        <v>851.326</v>
      </c>
      <c r="J58" s="23" t="n">
        <f aca="false">IF(Anlagen!U58&lt;&gt;"",Anlagen!U58,IF(C58=A58,500,1000)+ROW())</f>
        <v>1058</v>
      </c>
      <c r="K58" s="37" t="n">
        <f aca="false">SUMIFS(Anlagen!$F$5:$F$92,$C$5:$C$92,C58,$J$5:$J$92,"&lt;"&amp;J58)</f>
        <v>213</v>
      </c>
      <c r="L58" s="23" t="n">
        <f aca="false">INT(K58/PG)+1</f>
        <v>4</v>
      </c>
      <c r="M58" s="23" t="n">
        <f aca="false">MAX(L58,CEILING((K58+Anlagen!F58)/PG,1))</f>
        <v>5</v>
      </c>
      <c r="N58" s="23" t="str">
        <f aca="false">IFERROR(INDEX(Anlagen!$B$5:$B$92,MATCH(C58,Anlagen!$A$5:$A$92,0)),"?")&amp;": GW "&amp;L58&amp;IF(M58&gt;L58,"–"&amp;M58,"")</f>
        <v>Erdenglück: GW 4–5</v>
      </c>
      <c r="O58" s="31" t="n">
        <f aca="false">Buchungsquote!V58</f>
        <v>34.7159124087591</v>
      </c>
      <c r="P58" s="23" t="str">
        <f aca="false">IF(ISNA(MATCH(C58,Anlagen!$A$5:$A$92,0)),"Fehler: Standort unbekannt",IF(C58=A58,"OK",IF(INDEX($C$5:$C$92,MATCH(C58,Anlagen!$A$5:$A$92,0))&lt;&gt;C58,"Fehler: Standort hängt selbst an anderem Standort",IF(D58=A58,"Fehler: Zuleitung von sich selbst",IF(ISNA(MATCH(D58,Anlagen!$A$5:$A$92,0)),"Fehler: Zuleitung unbekannt",IF(INDEX($C$5:$C$92,MATCH(D58,Anlagen!$A$5:$A$92,0))&lt;&gt;C58,"Fehler: Zuleitung hängt an anderem Standort","OK"))))))</f>
        <v>OK</v>
      </c>
      <c r="Q58" s="23" t="str">
        <f aca="false">Anlagen!AA58</f>
        <v>IMMER</v>
      </c>
      <c r="R58" s="23" t="n">
        <f aca="false">IF(Anlagen!AB58&lt;&gt;"",Anlagen!AB58,COUNTIFS($C$5:$C$92,C58,$J$5:$J$92,"&lt;"&amp;J58)+1)</f>
        <v>5</v>
      </c>
      <c r="S58" s="23" t="n">
        <f aca="false">1000+200*(R58-1)+1</f>
        <v>1801</v>
      </c>
      <c r="T58" s="23" t="n">
        <f aca="false">1000+200*(R58-1)+Anlagen!F58</f>
        <v>1857</v>
      </c>
      <c r="U58" s="23" t="n">
        <f aca="false">100+A58</f>
        <v>154</v>
      </c>
      <c r="V58" s="23" t="n">
        <f aca="false">200+A58</f>
        <v>254</v>
      </c>
      <c r="W58" s="23" t="n">
        <f aca="false">300+A58</f>
        <v>354</v>
      </c>
      <c r="X58" s="23" t="str">
        <f aca="false">"10."&amp;A58&amp;".1.0/24"</f>
        <v>10.54.1.0/24</v>
      </c>
      <c r="Y58" s="23" t="str">
        <f aca="false">IF(R58&gt;15,"Fehler: VLAN-Block über 15",IF(COUNTIFS($C$5:$C$92,C58,$R$5:$R$92,R58)&gt;1,"Fehler: VLAN-Block am Standort doppelt",IF(COUNTIF($Q$5:$Q$92,Q58)&gt;1,"Fehler: Kürzel doppelt",IF(Anlagen!F58&gt;199,"Fehler: mehr als 199 Parzellen","OK"))))</f>
        <v>OK</v>
      </c>
    </row>
    <row r="59" customFormat="false" ht="15" hidden="false" customHeight="false" outlineLevel="0" collapsed="false">
      <c r="A59" s="23" t="n">
        <f aca="false">Anlagen!A59</f>
        <v>55</v>
      </c>
      <c r="B59" s="23" t="str">
        <f aca="false">Anlagen!B59</f>
        <v>Jakobswerder</v>
      </c>
      <c r="C59" s="23" t="n">
        <f aca="false">IF(Anlagen!S59&lt;&gt;"",Anlagen!S59,IF(Vorschlag_nutzen=1,Anlagen!Q59,A59))</f>
        <v>23</v>
      </c>
      <c r="D59" s="23" t="n">
        <f aca="false">IF(C59=A59,"",IF(Anlagen!T59&lt;&gt;"",Anlagen!T59,IF(AND(Anlagen!S59="",Vorschlag_nutzen=1,Anlagen!R59&lt;&gt;""),Anlagen!R59,C59)))</f>
        <v>36</v>
      </c>
      <c r="E59" s="23" t="str">
        <f aca="false">IF(C59=A59,IF(COUNTIF($C$5:$C$92,A59)&gt;1,"Gateway-Standort","eigenständig"),"über "&amp;IFERROR(INDEX(Anlagen!$B$5:$B$92,MATCH(D59,Anlagen!$A$5:$A$92,0)),"?"))</f>
        <v>über Friedland</v>
      </c>
      <c r="F59" s="36" t="n">
        <f aca="false">IF(C59=A59,0,IF(Anlagen!V59&lt;&gt;"",Anlagen!V59/1000,IFERROR(SQRT((Anlagen!N59-INDEX(Anlagen!$N$5:$N$92,MATCH(D59,Anlagen!$A$5:$A$92,0)))^2+(Anlagen!O59-INDEX(Anlagen!$O$5:$O$92,MATCH(D59,Anlagen!$A$5:$A$92,0)))^2),0)))</f>
        <v>1.0735455276792</v>
      </c>
      <c r="G59" s="37" t="n">
        <f aca="false">IF(C59=A59,0,IF(Anlagen!V59&lt;&gt;"",Anlagen!V59,F59*1000*Umweg))</f>
        <v>1395.60918598295</v>
      </c>
      <c r="H59" s="38" t="n">
        <f aca="false">IF(C59=A59,0,(G59*(P_Faser+P_Tiefbau)+2*P_SFP+P_MontZul)*EK)</f>
        <v>2721.78439697957</v>
      </c>
      <c r="I59" s="38" t="n">
        <f aca="false">IF(C59=A59,0,(P_Saeule+P_Flex+P_NT+P_Halter+P_Luefter+P_Spleiss+P_Ueber)*EK)</f>
        <v>851.326</v>
      </c>
      <c r="J59" s="23" t="n">
        <f aca="false">IF(Anlagen!U59&lt;&gt;"",Anlagen!U59,IF(C59=A59,500,1000)+ROW())</f>
        <v>1059</v>
      </c>
      <c r="K59" s="37" t="n">
        <f aca="false">SUMIFS(Anlagen!$F$5:$F$92,$C$5:$C$92,C59,$J$5:$J$92,"&lt;"&amp;J59)</f>
        <v>421</v>
      </c>
      <c r="L59" s="23" t="n">
        <f aca="false">INT(K59/PG)+1</f>
        <v>8</v>
      </c>
      <c r="M59" s="23" t="n">
        <f aca="false">MAX(L59,CEILING((K59+Anlagen!F59)/PG,1))</f>
        <v>9</v>
      </c>
      <c r="N59" s="23" t="str">
        <f aca="false">IFERROR(INDEX(Anlagen!$B$5:$B$92,MATCH(C59,Anlagen!$A$5:$A$92,0)),"?")&amp;": GW "&amp;L59&amp;IF(M59&gt;L59,"–"&amp;M59,"")</f>
        <v>Eigener Fleiß: GW 8–9</v>
      </c>
      <c r="O59" s="31" t="n">
        <f aca="false">Buchungsquote!V59</f>
        <v>29.2088586030664</v>
      </c>
      <c r="P59" s="23" t="str">
        <f aca="false">IF(ISNA(MATCH(C59,Anlagen!$A$5:$A$92,0)),"Fehler: Standort unbekannt",IF(C59=A59,"OK",IF(INDEX($C$5:$C$92,MATCH(C59,Anlagen!$A$5:$A$92,0))&lt;&gt;C59,"Fehler: Standort hängt selbst an anderem Standort",IF(D59=A59,"Fehler: Zuleitung von sich selbst",IF(ISNA(MATCH(D59,Anlagen!$A$5:$A$92,0)),"Fehler: Zuleitung unbekannt",IF(INDEX($C$5:$C$92,MATCH(D59,Anlagen!$A$5:$A$92,0))&lt;&gt;C59,"Fehler: Zuleitung hängt an anderem Standort","OK"))))))</f>
        <v>OK</v>
      </c>
      <c r="Q59" s="23" t="str">
        <f aca="false">Anlagen!AA59</f>
        <v>JAKWE</v>
      </c>
      <c r="R59" s="23" t="n">
        <f aca="false">IF(Anlagen!AB59&lt;&gt;"",Anlagen!AB59,COUNTIFS($C$5:$C$92,C59,$J$5:$J$92,"&lt;"&amp;J59)+1)</f>
        <v>7</v>
      </c>
      <c r="S59" s="23" t="n">
        <f aca="false">1000+200*(R59-1)+1</f>
        <v>2201</v>
      </c>
      <c r="T59" s="23" t="n">
        <f aca="false">1000+200*(R59-1)+Anlagen!F59</f>
        <v>2249</v>
      </c>
      <c r="U59" s="23" t="n">
        <f aca="false">100+A59</f>
        <v>155</v>
      </c>
      <c r="V59" s="23" t="n">
        <f aca="false">200+A59</f>
        <v>255</v>
      </c>
      <c r="W59" s="23" t="n">
        <f aca="false">300+A59</f>
        <v>355</v>
      </c>
      <c r="X59" s="23" t="str">
        <f aca="false">"10."&amp;A59&amp;".1.0/24"</f>
        <v>10.55.1.0/24</v>
      </c>
      <c r="Y59" s="23" t="str">
        <f aca="false">IF(R59&gt;15,"Fehler: VLAN-Block über 15",IF(COUNTIFS($C$5:$C$92,C59,$R$5:$R$92,R59)&gt;1,"Fehler: VLAN-Block am Standort doppelt",IF(COUNTIF($Q$5:$Q$92,Q59)&gt;1,"Fehler: Kürzel doppelt",IF(Anlagen!F59&gt;199,"Fehler: mehr als 199 Parzellen","OK"))))</f>
        <v>OK</v>
      </c>
    </row>
    <row r="60" customFormat="false" ht="15" hidden="false" customHeight="false" outlineLevel="0" collapsed="false">
      <c r="A60" s="23" t="n">
        <f aca="false">Anlagen!A60</f>
        <v>56</v>
      </c>
      <c r="B60" s="23" t="str">
        <f aca="false">Anlagen!B60</f>
        <v>Kammgarn</v>
      </c>
      <c r="C60" s="23" t="n">
        <f aca="false">IF(Anlagen!S60&lt;&gt;"",Anlagen!S60,IF(Vorschlag_nutzen=1,Anlagen!Q60,A60))</f>
        <v>56</v>
      </c>
      <c r="D60" s="23" t="str">
        <f aca="false">IF(C60=A60,"",IF(Anlagen!T60&lt;&gt;"",Anlagen!T60,IF(AND(Anlagen!S60="",Vorschlag_nutzen=1,Anlagen!R60&lt;&gt;""),Anlagen!R60,C60)))</f>
        <v/>
      </c>
      <c r="E60" s="23" t="str">
        <f aca="false">IF(C60=A60,IF(COUNTIF($C$5:$C$92,A60)&gt;1,"Gateway-Standort","eigenständig"),"über "&amp;IFERROR(INDEX(Anlagen!$B$5:$B$92,MATCH(D60,Anlagen!$A$5:$A$92,0)),"?"))</f>
        <v>Gateway-Standort</v>
      </c>
      <c r="F60" s="36" t="n">
        <f aca="false">IF(C60=A60,0,IF(Anlagen!V60&lt;&gt;"",Anlagen!V60/1000,IFERROR(SQRT((Anlagen!N60-INDEX(Anlagen!$N$5:$N$92,MATCH(D60,Anlagen!$A$5:$A$92,0)))^2+(Anlagen!O60-INDEX(Anlagen!$O$5:$O$92,MATCH(D60,Anlagen!$A$5:$A$92,0)))^2),0)))</f>
        <v>0</v>
      </c>
      <c r="G60" s="37" t="n">
        <f aca="false">IF(C60=A60,0,IF(Anlagen!V60&lt;&gt;"",Anlagen!V60,F60*1000*Umweg))</f>
        <v>0</v>
      </c>
      <c r="H60" s="38" t="n">
        <f aca="false">IF(C60=A60,0,(G60*(P_Faser+P_Tiefbau)+2*P_SFP+P_MontZul)*EK)</f>
        <v>0</v>
      </c>
      <c r="I60" s="38" t="n">
        <f aca="false">IF(C60=A60,0,(P_Saeule+P_Flex+P_NT+P_Halter+P_Luefter+P_Spleiss+P_Ueber)*EK)</f>
        <v>0</v>
      </c>
      <c r="J60" s="23" t="n">
        <f aca="false">IF(Anlagen!U60&lt;&gt;"",Anlagen!U60,IF(C60=A60,500,1000)+ROW())</f>
        <v>560</v>
      </c>
      <c r="K60" s="37" t="n">
        <f aca="false">SUMIFS(Anlagen!$F$5:$F$92,$C$5:$C$92,C60,$J$5:$J$92,"&lt;"&amp;J60)</f>
        <v>0</v>
      </c>
      <c r="L60" s="23" t="n">
        <f aca="false">INT(K60/PG)+1</f>
        <v>1</v>
      </c>
      <c r="M60" s="23" t="n">
        <f aca="false">MAX(L60,CEILING((K60+Anlagen!F60)/PG,1))</f>
        <v>1</v>
      </c>
      <c r="N60" s="23" t="str">
        <f aca="false">IFERROR(INDEX(Anlagen!$B$5:$B$92,MATCH(C60,Anlagen!$A$5:$A$92,0)),"?")&amp;": GW "&amp;L60&amp;IF(M60&gt;L60,"–"&amp;M60,"")</f>
        <v>Kammgarn: GW 1</v>
      </c>
      <c r="O60" s="31" t="n">
        <f aca="false">Buchungsquote!V60</f>
        <v>12.0160305343511</v>
      </c>
      <c r="P60" s="23" t="str">
        <f aca="false">IF(ISNA(MATCH(C60,Anlagen!$A$5:$A$92,0)),"Fehler: Standort unbekannt",IF(C60=A60,"OK",IF(INDEX($C$5:$C$92,MATCH(C60,Anlagen!$A$5:$A$92,0))&lt;&gt;C60,"Fehler: Standort hängt selbst an anderem Standort",IF(D60=A60,"Fehler: Zuleitung von sich selbst",IF(ISNA(MATCH(D60,Anlagen!$A$5:$A$92,0)),"Fehler: Zuleitung unbekannt",IF(INDEX($C$5:$C$92,MATCH(D60,Anlagen!$A$5:$A$92,0))&lt;&gt;C60,"Fehler: Zuleitung hängt an anderem Standort","OK"))))))</f>
        <v>OK</v>
      </c>
      <c r="Q60" s="23" t="str">
        <f aca="false">Anlagen!AA60</f>
        <v>KAMM</v>
      </c>
      <c r="R60" s="23" t="n">
        <f aca="false">IF(Anlagen!AB60&lt;&gt;"",Anlagen!AB60,COUNTIFS($C$5:$C$92,C60,$J$5:$J$92,"&lt;"&amp;J60)+1)</f>
        <v>1</v>
      </c>
      <c r="S60" s="23" t="n">
        <f aca="false">1000+200*(R60-1)+1</f>
        <v>1001</v>
      </c>
      <c r="T60" s="23" t="n">
        <f aca="false">1000+200*(R60-1)+Anlagen!F60</f>
        <v>1028</v>
      </c>
      <c r="U60" s="23" t="n">
        <f aca="false">100+A60</f>
        <v>156</v>
      </c>
      <c r="V60" s="23" t="n">
        <f aca="false">200+A60</f>
        <v>256</v>
      </c>
      <c r="W60" s="23" t="n">
        <f aca="false">300+A60</f>
        <v>356</v>
      </c>
      <c r="X60" s="23" t="str">
        <f aca="false">"10."&amp;A60&amp;".1.0/24"</f>
        <v>10.56.1.0/24</v>
      </c>
      <c r="Y60" s="23" t="str">
        <f aca="false">IF(R60&gt;15,"Fehler: VLAN-Block über 15",IF(COUNTIFS($C$5:$C$92,C60,$R$5:$R$92,R60)&gt;1,"Fehler: VLAN-Block am Standort doppelt",IF(COUNTIF($Q$5:$Q$92,Q60)&gt;1,"Fehler: Kürzel doppelt",IF(Anlagen!F60&gt;199,"Fehler: mehr als 199 Parzellen","OK"))))</f>
        <v>OK</v>
      </c>
    </row>
    <row r="61" customFormat="false" ht="15" hidden="false" customHeight="false" outlineLevel="0" collapsed="false">
      <c r="A61" s="23" t="n">
        <f aca="false">Anlagen!A61</f>
        <v>57</v>
      </c>
      <c r="B61" s="23" t="str">
        <f aca="false">Anlagen!B61</f>
        <v>Kirchmöser-Dorf</v>
      </c>
      <c r="C61" s="23" t="n">
        <f aca="false">IF(Anlagen!S61&lt;&gt;"",Anlagen!S61,IF(Vorschlag_nutzen=1,Anlagen!Q61,A61))</f>
        <v>57</v>
      </c>
      <c r="D61" s="23" t="str">
        <f aca="false">IF(C61=A61,"",IF(Anlagen!T61&lt;&gt;"",Anlagen!T61,IF(AND(Anlagen!S61="",Vorschlag_nutzen=1,Anlagen!R61&lt;&gt;""),Anlagen!R61,C61)))</f>
        <v/>
      </c>
      <c r="E61" s="23" t="str">
        <f aca="false">IF(C61=A61,IF(COUNTIF($C$5:$C$92,A61)&gt;1,"Gateway-Standort","eigenständig"),"über "&amp;IFERROR(INDEX(Anlagen!$B$5:$B$92,MATCH(D61,Anlagen!$A$5:$A$92,0)),"?"))</f>
        <v>Gateway-Standort</v>
      </c>
      <c r="F61" s="36" t="n">
        <f aca="false">IF(C61=A61,0,IF(Anlagen!V61&lt;&gt;"",Anlagen!V61/1000,IFERROR(SQRT((Anlagen!N61-INDEX(Anlagen!$N$5:$N$92,MATCH(D61,Anlagen!$A$5:$A$92,0)))^2+(Anlagen!O61-INDEX(Anlagen!$O$5:$O$92,MATCH(D61,Anlagen!$A$5:$A$92,0)))^2),0)))</f>
        <v>0</v>
      </c>
      <c r="G61" s="37" t="n">
        <f aca="false">IF(C61=A61,0,IF(Anlagen!V61&lt;&gt;"",Anlagen!V61,F61*1000*Umweg))</f>
        <v>0</v>
      </c>
      <c r="H61" s="38" t="n">
        <f aca="false">IF(C61=A61,0,(G61*(P_Faser+P_Tiefbau)+2*P_SFP+P_MontZul)*EK)</f>
        <v>0</v>
      </c>
      <c r="I61" s="38" t="n">
        <f aca="false">IF(C61=A61,0,(P_Saeule+P_Flex+P_NT+P_Halter+P_Luefter+P_Spleiss+P_Ueber)*EK)</f>
        <v>0</v>
      </c>
      <c r="J61" s="23" t="n">
        <f aca="false">IF(Anlagen!U61&lt;&gt;"",Anlagen!U61,IF(C61=A61,500,1000)+ROW())</f>
        <v>561</v>
      </c>
      <c r="K61" s="37" t="n">
        <f aca="false">SUMIFS(Anlagen!$F$5:$F$92,$C$5:$C$92,C61,$J$5:$J$92,"&lt;"&amp;J61)</f>
        <v>0</v>
      </c>
      <c r="L61" s="23" t="n">
        <f aca="false">INT(K61/PG)+1</f>
        <v>1</v>
      </c>
      <c r="M61" s="23" t="n">
        <f aca="false">MAX(L61,CEILING((K61+Anlagen!F61)/PG,1))</f>
        <v>1</v>
      </c>
      <c r="N61" s="23" t="str">
        <f aca="false">IFERROR(INDEX(Anlagen!$B$5:$B$92,MATCH(C61,Anlagen!$A$5:$A$92,0)),"?")&amp;": GW "&amp;L61&amp;IF(M61&gt;L61,"–"&amp;M61,"")</f>
        <v>Kirchmöser-Dorf: GW 1</v>
      </c>
      <c r="O61" s="31" t="n">
        <f aca="false">Buchungsquote!V61</f>
        <v>22.8313636363636</v>
      </c>
      <c r="P61" s="23" t="str">
        <f aca="false">IF(ISNA(MATCH(C61,Anlagen!$A$5:$A$92,0)),"Fehler: Standort unbekannt",IF(C61=A61,"OK",IF(INDEX($C$5:$C$92,MATCH(C61,Anlagen!$A$5:$A$92,0))&lt;&gt;C61,"Fehler: Standort hängt selbst an anderem Standort",IF(D61=A61,"Fehler: Zuleitung von sich selbst",IF(ISNA(MATCH(D61,Anlagen!$A$5:$A$92,0)),"Fehler: Zuleitung unbekannt",IF(INDEX($C$5:$C$92,MATCH(D61,Anlagen!$A$5:$A$92,0))&lt;&gt;C61,"Fehler: Zuleitung hängt an anderem Standort","OK"))))))</f>
        <v>OK</v>
      </c>
      <c r="Q61" s="23" t="str">
        <f aca="false">Anlagen!AA61</f>
        <v>KMDOR</v>
      </c>
      <c r="R61" s="23" t="n">
        <f aca="false">IF(Anlagen!AB61&lt;&gt;"",Anlagen!AB61,COUNTIFS($C$5:$C$92,C61,$J$5:$J$92,"&lt;"&amp;J61)+1)</f>
        <v>1</v>
      </c>
      <c r="S61" s="23" t="n">
        <f aca="false">1000+200*(R61-1)+1</f>
        <v>1001</v>
      </c>
      <c r="T61" s="23" t="n">
        <f aca="false">1000+200*(R61-1)+Anlagen!F61</f>
        <v>1048</v>
      </c>
      <c r="U61" s="23" t="n">
        <f aca="false">100+A61</f>
        <v>157</v>
      </c>
      <c r="V61" s="23" t="n">
        <f aca="false">200+A61</f>
        <v>257</v>
      </c>
      <c r="W61" s="23" t="n">
        <f aca="false">300+A61</f>
        <v>357</v>
      </c>
      <c r="X61" s="23" t="str">
        <f aca="false">"10."&amp;A61&amp;".1.0/24"</f>
        <v>10.57.1.0/24</v>
      </c>
      <c r="Y61" s="23" t="str">
        <f aca="false">IF(R61&gt;15,"Fehler: VLAN-Block über 15",IF(COUNTIFS($C$5:$C$92,C61,$R$5:$R$92,R61)&gt;1,"Fehler: VLAN-Block am Standort doppelt",IF(COUNTIF($Q$5:$Q$92,Q61)&gt;1,"Fehler: Kürzel doppelt",IF(Anlagen!F61&gt;199,"Fehler: mehr als 199 Parzellen","OK"))))</f>
        <v>OK</v>
      </c>
    </row>
    <row r="62" customFormat="false" ht="15" hidden="false" customHeight="false" outlineLevel="0" collapsed="false">
      <c r="A62" s="23" t="n">
        <f aca="false">Anlagen!A62</f>
        <v>58</v>
      </c>
      <c r="B62" s="23" t="str">
        <f aca="false">Anlagen!B62</f>
        <v>Kirchmöser-Lehmgarten</v>
      </c>
      <c r="C62" s="23" t="n">
        <f aca="false">IF(Anlagen!S62&lt;&gt;"",Anlagen!S62,IF(Vorschlag_nutzen=1,Anlagen!Q62,A62))</f>
        <v>59</v>
      </c>
      <c r="D62" s="23" t="n">
        <f aca="false">IF(C62=A62,"",IF(Anlagen!T62&lt;&gt;"",Anlagen!T62,IF(AND(Anlagen!S62="",Vorschlag_nutzen=1,Anlagen!R62&lt;&gt;""),Anlagen!R62,C62)))</f>
        <v>59</v>
      </c>
      <c r="E62" s="23" t="str">
        <f aca="false">IF(C62=A62,IF(COUNTIF($C$5:$C$92,A62)&gt;1,"Gateway-Standort","eigenständig"),"über "&amp;IFERROR(INDEX(Anlagen!$B$5:$B$92,MATCH(D62,Anlagen!$A$5:$A$92,0)),"?"))</f>
        <v>über Kirchmöser-Ost</v>
      </c>
      <c r="F62" s="36" t="n">
        <f aca="false">IF(C62=A62,0,IF(Anlagen!V62&lt;&gt;"",Anlagen!V62/1000,IFERROR(SQRT((Anlagen!N62-INDEX(Anlagen!$N$5:$N$92,MATCH(D62,Anlagen!$A$5:$A$92,0)))^2+(Anlagen!O62-INDEX(Anlagen!$O$5:$O$92,MATCH(D62,Anlagen!$A$5:$A$92,0)))^2),0)))</f>
        <v>0.533666562565053</v>
      </c>
      <c r="G62" s="37" t="n">
        <f aca="false">IF(C62=A62,0,IF(Anlagen!V62&lt;&gt;"",Anlagen!V62,F62*1000*Umweg))</f>
        <v>693.766531334569</v>
      </c>
      <c r="H62" s="38" t="n">
        <f aca="false">IF(C62=A62,0,(G62*(P_Faser+P_Tiefbau)+2*P_SFP+P_MontZul)*EK)</f>
        <v>1468.99525843221</v>
      </c>
      <c r="I62" s="38" t="n">
        <f aca="false">IF(C62=A62,0,(P_Saeule+P_Flex+P_NT+P_Halter+P_Luefter+P_Spleiss+P_Ueber)*EK)</f>
        <v>851.326</v>
      </c>
      <c r="J62" s="23" t="n">
        <f aca="false">IF(Anlagen!U62&lt;&gt;"",Anlagen!U62,IF(C62=A62,500,1000)+ROW())</f>
        <v>1062</v>
      </c>
      <c r="K62" s="37" t="n">
        <f aca="false">SUMIFS(Anlagen!$F$5:$F$92,$C$5:$C$92,C62,$J$5:$J$92,"&lt;"&amp;J62)</f>
        <v>66</v>
      </c>
      <c r="L62" s="23" t="n">
        <f aca="false">INT(K62/PG)+1</f>
        <v>2</v>
      </c>
      <c r="M62" s="23" t="n">
        <f aca="false">MAX(L62,CEILING((K62+Anlagen!F62)/PG,1))</f>
        <v>2</v>
      </c>
      <c r="N62" s="23" t="str">
        <f aca="false">IFERROR(INDEX(Anlagen!$B$5:$B$92,MATCH(C62,Anlagen!$A$5:$A$92,0)),"?")&amp;": GW "&amp;L62&amp;IF(M62&gt;L62,"–"&amp;M62,"")</f>
        <v>Kirchmöser-Ost: GW 2</v>
      </c>
      <c r="O62" s="31" t="n">
        <f aca="false">Buchungsquote!V62</f>
        <v>22.4292735042735</v>
      </c>
      <c r="P62" s="23" t="str">
        <f aca="false">IF(ISNA(MATCH(C62,Anlagen!$A$5:$A$92,0)),"Fehler: Standort unbekannt",IF(C62=A62,"OK",IF(INDEX($C$5:$C$92,MATCH(C62,Anlagen!$A$5:$A$92,0))&lt;&gt;C62,"Fehler: Standort hängt selbst an anderem Standort",IF(D62=A62,"Fehler: Zuleitung von sich selbst",IF(ISNA(MATCH(D62,Anlagen!$A$5:$A$92,0)),"Fehler: Zuleitung unbekannt",IF(INDEX($C$5:$C$92,MATCH(D62,Anlagen!$A$5:$A$92,0))&lt;&gt;C62,"Fehler: Zuleitung hängt an anderem Standort","OK"))))))</f>
        <v>OK</v>
      </c>
      <c r="Q62" s="23" t="str">
        <f aca="false">Anlagen!AA62</f>
        <v>KMLEH</v>
      </c>
      <c r="R62" s="23" t="n">
        <f aca="false">IF(Anlagen!AB62&lt;&gt;"",Anlagen!AB62,COUNTIFS($C$5:$C$92,C62,$J$5:$J$92,"&lt;"&amp;J62)+1)</f>
        <v>2</v>
      </c>
      <c r="S62" s="23" t="n">
        <f aca="false">1000+200*(R62-1)+1</f>
        <v>1201</v>
      </c>
      <c r="T62" s="23" t="n">
        <f aca="false">1000+200*(R62-1)+Anlagen!F62</f>
        <v>1238</v>
      </c>
      <c r="U62" s="23" t="n">
        <f aca="false">100+A62</f>
        <v>158</v>
      </c>
      <c r="V62" s="23" t="n">
        <f aca="false">200+A62</f>
        <v>258</v>
      </c>
      <c r="W62" s="23" t="n">
        <f aca="false">300+A62</f>
        <v>358</v>
      </c>
      <c r="X62" s="23" t="str">
        <f aca="false">"10."&amp;A62&amp;".1.0/24"</f>
        <v>10.58.1.0/24</v>
      </c>
      <c r="Y62" s="23" t="str">
        <f aca="false">IF(R62&gt;15,"Fehler: VLAN-Block über 15",IF(COUNTIFS($C$5:$C$92,C62,$R$5:$R$92,R62)&gt;1,"Fehler: VLAN-Block am Standort doppelt",IF(COUNTIF($Q$5:$Q$92,Q62)&gt;1,"Fehler: Kürzel doppelt",IF(Anlagen!F62&gt;199,"Fehler: mehr als 199 Parzellen","OK"))))</f>
        <v>OK</v>
      </c>
    </row>
    <row r="63" customFormat="false" ht="15" hidden="false" customHeight="false" outlineLevel="0" collapsed="false">
      <c r="A63" s="23" t="n">
        <f aca="false">Anlagen!A63</f>
        <v>59</v>
      </c>
      <c r="B63" s="23" t="str">
        <f aca="false">Anlagen!B63</f>
        <v>Kirchmöser-Ost</v>
      </c>
      <c r="C63" s="23" t="n">
        <f aca="false">IF(Anlagen!S63&lt;&gt;"",Anlagen!S63,IF(Vorschlag_nutzen=1,Anlagen!Q63,A63))</f>
        <v>59</v>
      </c>
      <c r="D63" s="23" t="str">
        <f aca="false">IF(C63=A63,"",IF(Anlagen!T63&lt;&gt;"",Anlagen!T63,IF(AND(Anlagen!S63="",Vorschlag_nutzen=1,Anlagen!R63&lt;&gt;""),Anlagen!R63,C63)))</f>
        <v/>
      </c>
      <c r="E63" s="23" t="str">
        <f aca="false">IF(C63=A63,IF(COUNTIF($C$5:$C$92,A63)&gt;1,"Gateway-Standort","eigenständig"),"über "&amp;IFERROR(INDEX(Anlagen!$B$5:$B$92,MATCH(D63,Anlagen!$A$5:$A$92,0)),"?"))</f>
        <v>Gateway-Standort</v>
      </c>
      <c r="F63" s="36" t="n">
        <f aca="false">IF(C63=A63,0,IF(Anlagen!V63&lt;&gt;"",Anlagen!V63/1000,IFERROR(SQRT((Anlagen!N63-INDEX(Anlagen!$N$5:$N$92,MATCH(D63,Anlagen!$A$5:$A$92,0)))^2+(Anlagen!O63-INDEX(Anlagen!$O$5:$O$92,MATCH(D63,Anlagen!$A$5:$A$92,0)))^2),0)))</f>
        <v>0</v>
      </c>
      <c r="G63" s="37" t="n">
        <f aca="false">IF(C63=A63,0,IF(Anlagen!V63&lt;&gt;"",Anlagen!V63,F63*1000*Umweg))</f>
        <v>0</v>
      </c>
      <c r="H63" s="38" t="n">
        <f aca="false">IF(C63=A63,0,(G63*(P_Faser+P_Tiefbau)+2*P_SFP+P_MontZul)*EK)</f>
        <v>0</v>
      </c>
      <c r="I63" s="38" t="n">
        <f aca="false">IF(C63=A63,0,(P_Saeule+P_Flex+P_NT+P_Halter+P_Luefter+P_Spleiss+P_Ueber)*EK)</f>
        <v>0</v>
      </c>
      <c r="J63" s="23" t="n">
        <f aca="false">IF(Anlagen!U63&lt;&gt;"",Anlagen!U63,IF(C63=A63,500,1000)+ROW())</f>
        <v>563</v>
      </c>
      <c r="K63" s="37" t="n">
        <f aca="false">SUMIFS(Anlagen!$F$5:$F$92,$C$5:$C$92,C63,$J$5:$J$92,"&lt;"&amp;J63)</f>
        <v>0</v>
      </c>
      <c r="L63" s="23" t="n">
        <f aca="false">INT(K63/PG)+1</f>
        <v>1</v>
      </c>
      <c r="M63" s="23" t="n">
        <f aca="false">MAX(L63,CEILING((K63+Anlagen!F63)/PG,1))</f>
        <v>2</v>
      </c>
      <c r="N63" s="23" t="str">
        <f aca="false">IFERROR(INDEX(Anlagen!$B$5:$B$92,MATCH(C63,Anlagen!$A$5:$A$92,0)),"?")&amp;": GW "&amp;L63&amp;IF(M63&gt;L63,"–"&amp;M63,"")</f>
        <v>Kirchmöser-Ost: GW 1–2</v>
      </c>
      <c r="O63" s="31" t="n">
        <f aca="false">Buchungsquote!V63</f>
        <v>35.2150170648464</v>
      </c>
      <c r="P63" s="23" t="str">
        <f aca="false">IF(ISNA(MATCH(C63,Anlagen!$A$5:$A$92,0)),"Fehler: Standort unbekannt",IF(C63=A63,"OK",IF(INDEX($C$5:$C$92,MATCH(C63,Anlagen!$A$5:$A$92,0))&lt;&gt;C63,"Fehler: Standort hängt selbst an anderem Standort",IF(D63=A63,"Fehler: Zuleitung von sich selbst",IF(ISNA(MATCH(D63,Anlagen!$A$5:$A$92,0)),"Fehler: Zuleitung unbekannt",IF(INDEX($C$5:$C$92,MATCH(D63,Anlagen!$A$5:$A$92,0))&lt;&gt;C63,"Fehler: Zuleitung hängt an anderem Standort","OK"))))))</f>
        <v>OK</v>
      </c>
      <c r="Q63" s="23" t="str">
        <f aca="false">Anlagen!AA63</f>
        <v>KMOST</v>
      </c>
      <c r="R63" s="23" t="n">
        <f aca="false">IF(Anlagen!AB63&lt;&gt;"",Anlagen!AB63,COUNTIFS($C$5:$C$92,C63,$J$5:$J$92,"&lt;"&amp;J63)+1)</f>
        <v>1</v>
      </c>
      <c r="S63" s="23" t="n">
        <f aca="false">1000+200*(R63-1)+1</f>
        <v>1001</v>
      </c>
      <c r="T63" s="23" t="n">
        <f aca="false">1000+200*(R63-1)+Anlagen!F63</f>
        <v>1066</v>
      </c>
      <c r="U63" s="23" t="n">
        <f aca="false">100+A63</f>
        <v>159</v>
      </c>
      <c r="V63" s="23" t="n">
        <f aca="false">200+A63</f>
        <v>259</v>
      </c>
      <c r="W63" s="23" t="n">
        <f aca="false">300+A63</f>
        <v>359</v>
      </c>
      <c r="X63" s="23" t="str">
        <f aca="false">"10."&amp;A63&amp;".1.0/24"</f>
        <v>10.59.1.0/24</v>
      </c>
      <c r="Y63" s="23" t="str">
        <f aca="false">IF(R63&gt;15,"Fehler: VLAN-Block über 15",IF(COUNTIFS($C$5:$C$92,C63,$R$5:$R$92,R63)&gt;1,"Fehler: VLAN-Block am Standort doppelt",IF(COUNTIF($Q$5:$Q$92,Q63)&gt;1,"Fehler: Kürzel doppelt",IF(Anlagen!F63&gt;199,"Fehler: mehr als 199 Parzellen","OK"))))</f>
        <v>OK</v>
      </c>
    </row>
    <row r="64" customFormat="false" ht="15" hidden="false" customHeight="false" outlineLevel="0" collapsed="false">
      <c r="A64" s="23" t="n">
        <f aca="false">Anlagen!A64</f>
        <v>60</v>
      </c>
      <c r="B64" s="23" t="str">
        <f aca="false">Anlagen!B64</f>
        <v>Landheim</v>
      </c>
      <c r="C64" s="23" t="n">
        <f aca="false">IF(Anlagen!S64&lt;&gt;"",Anlagen!S64,IF(Vorschlag_nutzen=1,Anlagen!Q64,A64))</f>
        <v>41</v>
      </c>
      <c r="D64" s="23" t="n">
        <f aca="false">IF(C64=A64,"",IF(Anlagen!T64&lt;&gt;"",Anlagen!T64,IF(AND(Anlagen!S64="",Vorschlag_nutzen=1,Anlagen!R64&lt;&gt;""),Anlagen!R64,C64)))</f>
        <v>41</v>
      </c>
      <c r="E64" s="23" t="str">
        <f aca="false">IF(C64=A64,IF(COUNTIF($C$5:$C$92,A64)&gt;1,"Gateway-Standort","eigenständig"),"über "&amp;IFERROR(INDEX(Anlagen!$B$5:$B$92,MATCH(D64,Anlagen!$A$5:$A$92,0)),"?"))</f>
        <v>über Glück im Winkel</v>
      </c>
      <c r="F64" s="36" t="n">
        <f aca="false">IF(C64=A64,0,IF(Anlagen!V64&lt;&gt;"",Anlagen!V64/1000,IFERROR(SQRT((Anlagen!N64-INDEX(Anlagen!$N$5:$N$92,MATCH(D64,Anlagen!$A$5:$A$92,0)))^2+(Anlagen!O64-INDEX(Anlagen!$O$5:$O$92,MATCH(D64,Anlagen!$A$5:$A$92,0)))^2),0)))</f>
        <v>1.33364163102387</v>
      </c>
      <c r="G64" s="37" t="n">
        <f aca="false">IF(C64=A64,0,IF(Anlagen!V64&lt;&gt;"",Anlagen!V64,F64*1000*Umweg))</f>
        <v>1733.73412033103</v>
      </c>
      <c r="H64" s="38" t="n">
        <f aca="false">IF(C64=A64,0,(G64*(P_Faser+P_Tiefbau)+2*P_SFP+P_MontZul)*EK)</f>
        <v>3325.33740479088</v>
      </c>
      <c r="I64" s="38" t="n">
        <f aca="false">IF(C64=A64,0,(P_Saeule+P_Flex+P_NT+P_Halter+P_Luefter+P_Spleiss+P_Ueber)*EK)</f>
        <v>851.326</v>
      </c>
      <c r="J64" s="23" t="n">
        <f aca="false">IF(Anlagen!U64&lt;&gt;"",Anlagen!U64,IF(C64=A64,500,1000)+ROW())</f>
        <v>1064</v>
      </c>
      <c r="K64" s="37" t="n">
        <f aca="false">SUMIFS(Anlagen!$F$5:$F$92,$C$5:$C$92,C64,$J$5:$J$92,"&lt;"&amp;J64)</f>
        <v>431</v>
      </c>
      <c r="L64" s="23" t="n">
        <f aca="false">INT(K64/PG)+1</f>
        <v>8</v>
      </c>
      <c r="M64" s="23" t="n">
        <f aca="false">MAX(L64,CEILING((K64+Anlagen!F64)/PG,1))</f>
        <v>10</v>
      </c>
      <c r="N64" s="23" t="str">
        <f aca="false">IFERROR(INDEX(Anlagen!$B$5:$B$92,MATCH(C64,Anlagen!$A$5:$A$92,0)),"?")&amp;": GW "&amp;L64&amp;IF(M64&gt;L64,"–"&amp;M64,"")</f>
        <v>Glück im Winkel: GW 8–10</v>
      </c>
      <c r="O64" s="31" t="n">
        <f aca="false">Buchungsquote!V64</f>
        <v>58.6746803069054</v>
      </c>
      <c r="P64" s="23" t="str">
        <f aca="false">IF(ISNA(MATCH(C64,Anlagen!$A$5:$A$92,0)),"Fehler: Standort unbekannt",IF(C64=A64,"OK",IF(INDEX($C$5:$C$92,MATCH(C64,Anlagen!$A$5:$A$92,0))&lt;&gt;C64,"Fehler: Standort hängt selbst an anderem Standort",IF(D64=A64,"Fehler: Zuleitung von sich selbst",IF(ISNA(MATCH(D64,Anlagen!$A$5:$A$92,0)),"Fehler: Zuleitung unbekannt",IF(INDEX($C$5:$C$92,MATCH(D64,Anlagen!$A$5:$A$92,0))&lt;&gt;C64,"Fehler: Zuleitung hängt an anderem Standort","OK"))))))</f>
        <v>OK</v>
      </c>
      <c r="Q64" s="23" t="str">
        <f aca="false">Anlagen!AA64</f>
        <v>LANDH</v>
      </c>
      <c r="R64" s="23" t="n">
        <f aca="false">IF(Anlagen!AB64&lt;&gt;"",Anlagen!AB64,COUNTIFS($C$5:$C$92,C64,$J$5:$J$92,"&lt;"&amp;J64)+1)</f>
        <v>6</v>
      </c>
      <c r="S64" s="23" t="n">
        <f aca="false">1000+200*(R64-1)+1</f>
        <v>2001</v>
      </c>
      <c r="T64" s="23" t="n">
        <f aca="false">1000+200*(R64-1)+Anlagen!F64</f>
        <v>2109</v>
      </c>
      <c r="U64" s="23" t="n">
        <f aca="false">100+A64</f>
        <v>160</v>
      </c>
      <c r="V64" s="23" t="n">
        <f aca="false">200+A64</f>
        <v>260</v>
      </c>
      <c r="W64" s="23" t="n">
        <f aca="false">300+A64</f>
        <v>360</v>
      </c>
      <c r="X64" s="23" t="str">
        <f aca="false">"10."&amp;A64&amp;".1.0/24"</f>
        <v>10.60.1.0/24</v>
      </c>
      <c r="Y64" s="23" t="str">
        <f aca="false">IF(R64&gt;15,"Fehler: VLAN-Block über 15",IF(COUNTIFS($C$5:$C$92,C64,$R$5:$R$92,R64)&gt;1,"Fehler: VLAN-Block am Standort doppelt",IF(COUNTIF($Q$5:$Q$92,Q64)&gt;1,"Fehler: Kürzel doppelt",IF(Anlagen!F64&gt;199,"Fehler: mehr als 199 Parzellen","OK"))))</f>
        <v>OK</v>
      </c>
    </row>
    <row r="65" customFormat="false" ht="15" hidden="false" customHeight="false" outlineLevel="0" collapsed="false">
      <c r="A65" s="23" t="n">
        <f aca="false">Anlagen!A65</f>
        <v>61</v>
      </c>
      <c r="B65" s="23" t="str">
        <f aca="false">Anlagen!B65</f>
        <v>Märkische Aue</v>
      </c>
      <c r="C65" s="23" t="n">
        <f aca="false">IF(Anlagen!S65&lt;&gt;"",Anlagen!S65,IF(Vorschlag_nutzen=1,Anlagen!Q65,A65))</f>
        <v>85</v>
      </c>
      <c r="D65" s="23" t="n">
        <f aca="false">IF(C65=A65,"",IF(Anlagen!T65&lt;&gt;"",Anlagen!T65,IF(AND(Anlagen!S65="",Vorschlag_nutzen=1,Anlagen!R65&lt;&gt;""),Anlagen!R65,C65)))</f>
        <v>85</v>
      </c>
      <c r="E65" s="23" t="str">
        <f aca="false">IF(C65=A65,IF(COUNTIF($C$5:$C$92,A65)&gt;1,"Gateway-Standort","eigenständig"),"über "&amp;IFERROR(INDEX(Anlagen!$B$5:$B$92,MATCH(D65,Anlagen!$A$5:$A$92,0)),"?"))</f>
        <v>über Zukunft</v>
      </c>
      <c r="F65" s="36" t="n">
        <f aca="false">IF(C65=A65,0,IF(Anlagen!V65&lt;&gt;"",Anlagen!V65/1000,IFERROR(SQRT((Anlagen!N65-INDEX(Anlagen!$N$5:$N$92,MATCH(D65,Anlagen!$A$5:$A$92,0)))^2+(Anlagen!O65-INDEX(Anlagen!$O$5:$O$92,MATCH(D65,Anlagen!$A$5:$A$92,0)))^2),0)))</f>
        <v>0.71386273190299</v>
      </c>
      <c r="G65" s="37" t="n">
        <f aca="false">IF(C65=A65,0,IF(Anlagen!V65&lt;&gt;"",Anlagen!V65,F65*1000*Umweg))</f>
        <v>928.021551473887</v>
      </c>
      <c r="H65" s="38" t="n">
        <f aca="false">IF(C65=A65,0,(G65*(P_Faser+P_Tiefbau)+2*P_SFP+P_MontZul)*EK)</f>
        <v>1887.14046938089</v>
      </c>
      <c r="I65" s="38" t="n">
        <f aca="false">IF(C65=A65,0,(P_Saeule+P_Flex+P_NT+P_Halter+P_Luefter+P_Spleiss+P_Ueber)*EK)</f>
        <v>851.326</v>
      </c>
      <c r="J65" s="23" t="n">
        <f aca="false">IF(Anlagen!U65&lt;&gt;"",Anlagen!U65,IF(C65=A65,500,1000)+ROW())</f>
        <v>1065</v>
      </c>
      <c r="K65" s="37" t="n">
        <f aca="false">SUMIFS(Anlagen!$F$5:$F$92,$C$5:$C$92,C65,$J$5:$J$92,"&lt;"&amp;J65)</f>
        <v>165</v>
      </c>
      <c r="L65" s="23" t="n">
        <f aca="false">INT(K65/PG)+1</f>
        <v>4</v>
      </c>
      <c r="M65" s="23" t="n">
        <f aca="false">MAX(L65,CEILING((K65+Anlagen!F65)/PG,1))</f>
        <v>5</v>
      </c>
      <c r="N65" s="23" t="str">
        <f aca="false">IFERROR(INDEX(Anlagen!$B$5:$B$92,MATCH(C65,Anlagen!$A$5:$A$92,0)),"?")&amp;": GW "&amp;L65&amp;IF(M65&gt;L65,"–"&amp;M65,"")</f>
        <v>Zukunft: GW 4–5</v>
      </c>
      <c r="O65" s="31" t="n">
        <f aca="false">Buchungsquote!V65</f>
        <v>42.3504977876106</v>
      </c>
      <c r="P65" s="23" t="str">
        <f aca="false">IF(ISNA(MATCH(C65,Anlagen!$A$5:$A$92,0)),"Fehler: Standort unbekannt",IF(C65=A65,"OK",IF(INDEX($C$5:$C$92,MATCH(C65,Anlagen!$A$5:$A$92,0))&lt;&gt;C65,"Fehler: Standort hängt selbst an anderem Standort",IF(D65=A65,"Fehler: Zuleitung von sich selbst",IF(ISNA(MATCH(D65,Anlagen!$A$5:$A$92,0)),"Fehler: Zuleitung unbekannt",IF(INDEX($C$5:$C$92,MATCH(D65,Anlagen!$A$5:$A$92,0))&lt;&gt;C65,"Fehler: Zuleitung hängt an anderem Standort","OK"))))))</f>
        <v>OK</v>
      </c>
      <c r="Q65" s="23" t="str">
        <f aca="false">Anlagen!AA65</f>
        <v>MAERK</v>
      </c>
      <c r="R65" s="23" t="n">
        <f aca="false">IF(Anlagen!AB65&lt;&gt;"",Anlagen!AB65,COUNTIFS($C$5:$C$92,C65,$J$5:$J$92,"&lt;"&amp;J65)+1)</f>
        <v>4</v>
      </c>
      <c r="S65" s="23" t="n">
        <f aca="false">1000+200*(R65-1)+1</f>
        <v>1601</v>
      </c>
      <c r="T65" s="23" t="n">
        <f aca="false">1000+200*(R65-1)+Anlagen!F65</f>
        <v>1673</v>
      </c>
      <c r="U65" s="23" t="n">
        <f aca="false">100+A65</f>
        <v>161</v>
      </c>
      <c r="V65" s="23" t="n">
        <f aca="false">200+A65</f>
        <v>261</v>
      </c>
      <c r="W65" s="23" t="n">
        <f aca="false">300+A65</f>
        <v>361</v>
      </c>
      <c r="X65" s="23" t="str">
        <f aca="false">"10."&amp;A65&amp;".1.0/24"</f>
        <v>10.61.1.0/24</v>
      </c>
      <c r="Y65" s="23" t="str">
        <f aca="false">IF(R65&gt;15,"Fehler: VLAN-Block über 15",IF(COUNTIFS($C$5:$C$92,C65,$R$5:$R$92,R65)&gt;1,"Fehler: VLAN-Block am Standort doppelt",IF(COUNTIF($Q$5:$Q$92,Q65)&gt;1,"Fehler: Kürzel doppelt",IF(Anlagen!F65&gt;199,"Fehler: mehr als 199 Parzellen","OK"))))</f>
        <v>OK</v>
      </c>
    </row>
    <row r="66" customFormat="false" ht="15" hidden="false" customHeight="false" outlineLevel="0" collapsed="false">
      <c r="A66" s="23" t="n">
        <f aca="false">Anlagen!A66</f>
        <v>62</v>
      </c>
      <c r="B66" s="23" t="str">
        <f aca="false">Anlagen!B66</f>
        <v>Mittelweg</v>
      </c>
      <c r="C66" s="23" t="n">
        <f aca="false">IF(Anlagen!S66&lt;&gt;"",Anlagen!S66,IF(Vorschlag_nutzen=1,Anlagen!Q66,A66))</f>
        <v>22</v>
      </c>
      <c r="D66" s="23" t="n">
        <f aca="false">IF(C66=A66,"",IF(Anlagen!T66&lt;&gt;"",Anlagen!T66,IF(AND(Anlagen!S66="",Vorschlag_nutzen=1,Anlagen!R66&lt;&gt;""),Anlagen!R66,C66)))</f>
        <v>22</v>
      </c>
      <c r="E66" s="23" t="str">
        <f aca="false">IF(C66=A66,IF(COUNTIF($C$5:$C$92,A66)&gt;1,"Gateway-Standort","eigenständig"),"über "&amp;IFERROR(INDEX(Anlagen!$B$5:$B$92,MATCH(D66,Anlagen!$A$5:$A$92,0)),"?"))</f>
        <v>über Eichhorstweg</v>
      </c>
      <c r="F66" s="36" t="n">
        <f aca="false">IF(C66=A66,0,IF(Anlagen!V66&lt;&gt;"",Anlagen!V66/1000,IFERROR(SQRT((Anlagen!N66-INDEX(Anlagen!$N$5:$N$92,MATCH(D66,Anlagen!$A$5:$A$92,0)))^2+(Anlagen!O66-INDEX(Anlagen!$O$5:$O$92,MATCH(D66,Anlagen!$A$5:$A$92,0)))^2),0)))</f>
        <v>0.304795013082562</v>
      </c>
      <c r="G66" s="37" t="n">
        <f aca="false">IF(C66=A66,0,IF(Anlagen!V66&lt;&gt;"",Anlagen!V66,F66*1000*Umweg))</f>
        <v>396.233517007331</v>
      </c>
      <c r="H66" s="38" t="n">
        <f aca="false">IF(C66=A66,0,(G66*(P_Faser+P_Tiefbau)+2*P_SFP+P_MontZul)*EK)</f>
        <v>937.898827858086</v>
      </c>
      <c r="I66" s="38" t="n">
        <f aca="false">IF(C66=A66,0,(P_Saeule+P_Flex+P_NT+P_Halter+P_Luefter+P_Spleiss+P_Ueber)*EK)</f>
        <v>851.326</v>
      </c>
      <c r="J66" s="23" t="n">
        <f aca="false">IF(Anlagen!U66&lt;&gt;"",Anlagen!U66,IF(C66=A66,500,1000)+ROW())</f>
        <v>1066</v>
      </c>
      <c r="K66" s="37" t="n">
        <f aca="false">SUMIFS(Anlagen!$F$5:$F$92,$C$5:$C$92,C66,$J$5:$J$92,"&lt;"&amp;J66)</f>
        <v>38</v>
      </c>
      <c r="L66" s="23" t="n">
        <f aca="false">INT(K66/PG)+1</f>
        <v>1</v>
      </c>
      <c r="M66" s="23" t="n">
        <f aca="false">MAX(L66,CEILING((K66+Anlagen!F66)/PG,1))</f>
        <v>2</v>
      </c>
      <c r="N66" s="23" t="str">
        <f aca="false">IFERROR(INDEX(Anlagen!$B$5:$B$92,MATCH(C66,Anlagen!$A$5:$A$92,0)),"?")&amp;": GW "&amp;L66&amp;IF(M66&gt;L66,"–"&amp;M66,"")</f>
        <v>Eichhorstweg: GW 1–2</v>
      </c>
      <c r="O66" s="31" t="n">
        <f aca="false">Buchungsquote!V66</f>
        <v>17.2910491071429</v>
      </c>
      <c r="P66" s="23" t="str">
        <f aca="false">IF(ISNA(MATCH(C66,Anlagen!$A$5:$A$92,0)),"Fehler: Standort unbekannt",IF(C66=A66,"OK",IF(INDEX($C$5:$C$92,MATCH(C66,Anlagen!$A$5:$A$92,0))&lt;&gt;C66,"Fehler: Standort hängt selbst an anderem Standort",IF(D66=A66,"Fehler: Zuleitung von sich selbst",IF(ISNA(MATCH(D66,Anlagen!$A$5:$A$92,0)),"Fehler: Zuleitung unbekannt",IF(INDEX($C$5:$C$92,MATCH(D66,Anlagen!$A$5:$A$92,0))&lt;&gt;C66,"Fehler: Zuleitung hängt an anderem Standort","OK"))))))</f>
        <v>OK</v>
      </c>
      <c r="Q66" s="23" t="str">
        <f aca="false">Anlagen!AA66</f>
        <v>MITTW</v>
      </c>
      <c r="R66" s="23" t="n">
        <f aca="false">IF(Anlagen!AB66&lt;&gt;"",Anlagen!AB66,COUNTIFS($C$5:$C$92,C66,$J$5:$J$92,"&lt;"&amp;J66)+1)</f>
        <v>2</v>
      </c>
      <c r="S66" s="23" t="n">
        <f aca="false">1000+200*(R66-1)+1</f>
        <v>1201</v>
      </c>
      <c r="T66" s="23" t="n">
        <f aca="false">1000+200*(R66-1)+Anlagen!F66</f>
        <v>1236</v>
      </c>
      <c r="U66" s="23" t="n">
        <f aca="false">100+A66</f>
        <v>162</v>
      </c>
      <c r="V66" s="23" t="n">
        <f aca="false">200+A66</f>
        <v>262</v>
      </c>
      <c r="W66" s="23" t="n">
        <f aca="false">300+A66</f>
        <v>362</v>
      </c>
      <c r="X66" s="23" t="str">
        <f aca="false">"10."&amp;A66&amp;".1.0/24"</f>
        <v>10.62.1.0/24</v>
      </c>
      <c r="Y66" s="23" t="str">
        <f aca="false">IF(R66&gt;15,"Fehler: VLAN-Block über 15",IF(COUNTIFS($C$5:$C$92,C66,$R$5:$R$92,R66)&gt;1,"Fehler: VLAN-Block am Standort doppelt",IF(COUNTIF($Q$5:$Q$92,Q66)&gt;1,"Fehler: Kürzel doppelt",IF(Anlagen!F66&gt;199,"Fehler: mehr als 199 Parzellen","OK"))))</f>
        <v>OK</v>
      </c>
    </row>
    <row r="67" customFormat="false" ht="15" hidden="false" customHeight="false" outlineLevel="0" collapsed="false">
      <c r="A67" s="23" t="n">
        <f aca="false">Anlagen!A67</f>
        <v>63</v>
      </c>
      <c r="B67" s="23" t="str">
        <f aca="false">Anlagen!B67</f>
        <v>Morgenrot</v>
      </c>
      <c r="C67" s="23" t="n">
        <f aca="false">IF(Anlagen!S67&lt;&gt;"",Anlagen!S67,IF(Vorschlag_nutzen=1,Anlagen!Q67,A67))</f>
        <v>73</v>
      </c>
      <c r="D67" s="23" t="n">
        <f aca="false">IF(C67=A67,"",IF(Anlagen!T67&lt;&gt;"",Anlagen!T67,IF(AND(Anlagen!S67="",Vorschlag_nutzen=1,Anlagen!R67&lt;&gt;""),Anlagen!R67,C67)))</f>
        <v>74</v>
      </c>
      <c r="E67" s="23" t="str">
        <f aca="false">IF(C67=A67,IF(COUNTIF($C$5:$C$92,A67)&gt;1,"Gateway-Standort","eigenständig"),"über "&amp;IFERROR(INDEX(Anlagen!$B$5:$B$92,MATCH(D67,Anlagen!$A$5:$A$92,0)),"?"))</f>
        <v>über Sonnenrot</v>
      </c>
      <c r="F67" s="36" t="n">
        <f aca="false">IF(C67=A67,0,IF(Anlagen!V67&lt;&gt;"",Anlagen!V67/1000,IFERROR(SQRT((Anlagen!N67-INDEX(Anlagen!$N$5:$N$92,MATCH(D67,Anlagen!$A$5:$A$92,0)))^2+(Anlagen!O67-INDEX(Anlagen!$O$5:$O$92,MATCH(D67,Anlagen!$A$5:$A$92,0)))^2),0)))</f>
        <v>0.15</v>
      </c>
      <c r="G67" s="37" t="n">
        <f aca="false">IF(C67=A67,0,IF(Anlagen!V67&lt;&gt;"",Anlagen!V67,F67*1000*Umweg))</f>
        <v>195</v>
      </c>
      <c r="H67" s="38" t="n">
        <f aca="false">IF(C67=A67,0,(G67*(P_Faser+P_Tiefbau)+2*P_SFP+P_MontZul)*EK)</f>
        <v>578.697000000001</v>
      </c>
      <c r="I67" s="38" t="n">
        <f aca="false">IF(C67=A67,0,(P_Saeule+P_Flex+P_NT+P_Halter+P_Luefter+P_Spleiss+P_Ueber)*EK)</f>
        <v>851.326</v>
      </c>
      <c r="J67" s="23" t="n">
        <f aca="false">IF(Anlagen!U67&lt;&gt;"",Anlagen!U67,IF(C67=A67,500,1000)+ROW())</f>
        <v>1067</v>
      </c>
      <c r="K67" s="37" t="n">
        <f aca="false">SUMIFS(Anlagen!$F$5:$F$92,$C$5:$C$92,C67,$J$5:$J$92,"&lt;"&amp;J67)</f>
        <v>244</v>
      </c>
      <c r="L67" s="23" t="n">
        <f aca="false">INT(K67/PG)+1</f>
        <v>5</v>
      </c>
      <c r="M67" s="23" t="n">
        <f aca="false">MAX(L67,CEILING((K67+Anlagen!F67)/PG,1))</f>
        <v>5</v>
      </c>
      <c r="N67" s="23" t="str">
        <f aca="false">IFERROR(INDEX(Anlagen!$B$5:$B$92,MATCH(C67,Anlagen!$A$5:$A$92,0)),"?")&amp;": GW "&amp;L67&amp;IF(M67&gt;L67,"–"&amp;M67,"")</f>
        <v>Sommerfreude II: GW 5</v>
      </c>
      <c r="O67" s="31" t="n">
        <f aca="false">Buchungsquote!V67</f>
        <v>17.52</v>
      </c>
      <c r="P67" s="23" t="str">
        <f aca="false">IF(ISNA(MATCH(C67,Anlagen!$A$5:$A$92,0)),"Fehler: Standort unbekannt",IF(C67=A67,"OK",IF(INDEX($C$5:$C$92,MATCH(C67,Anlagen!$A$5:$A$92,0))&lt;&gt;C67,"Fehler: Standort hängt selbst an anderem Standort",IF(D67=A67,"Fehler: Zuleitung von sich selbst",IF(ISNA(MATCH(D67,Anlagen!$A$5:$A$92,0)),"Fehler: Zuleitung unbekannt",IF(INDEX($C$5:$C$92,MATCH(D67,Anlagen!$A$5:$A$92,0))&lt;&gt;C67,"Fehler: Zuleitung hängt an anderem Standort","OK"))))))</f>
        <v>OK</v>
      </c>
      <c r="Q67" s="23" t="str">
        <f aca="false">Anlagen!AA67</f>
        <v>MORGE</v>
      </c>
      <c r="R67" s="23" t="n">
        <f aca="false">IF(Anlagen!AB67&lt;&gt;"",Anlagen!AB67,COUNTIFS($C$5:$C$92,C67,$J$5:$J$92,"&lt;"&amp;J67)+1)</f>
        <v>5</v>
      </c>
      <c r="S67" s="23" t="n">
        <f aca="false">1000+200*(R67-1)+1</f>
        <v>1801</v>
      </c>
      <c r="T67" s="23" t="n">
        <f aca="false">1000+200*(R67-1)+Anlagen!F67</f>
        <v>1825</v>
      </c>
      <c r="U67" s="23" t="n">
        <f aca="false">100+A67</f>
        <v>163</v>
      </c>
      <c r="V67" s="23" t="n">
        <f aca="false">200+A67</f>
        <v>263</v>
      </c>
      <c r="W67" s="23" t="n">
        <f aca="false">300+A67</f>
        <v>363</v>
      </c>
      <c r="X67" s="23" t="str">
        <f aca="false">"10."&amp;A67&amp;".1.0/24"</f>
        <v>10.63.1.0/24</v>
      </c>
      <c r="Y67" s="23" t="str">
        <f aca="false">IF(R67&gt;15,"Fehler: VLAN-Block über 15",IF(COUNTIFS($C$5:$C$92,C67,$R$5:$R$92,R67)&gt;1,"Fehler: VLAN-Block am Standort doppelt",IF(COUNTIF($Q$5:$Q$92,Q67)&gt;1,"Fehler: Kürzel doppelt",IF(Anlagen!F67&gt;199,"Fehler: mehr als 199 Parzellen","OK"))))</f>
        <v>OK</v>
      </c>
    </row>
    <row r="68" customFormat="false" ht="15" hidden="false" customHeight="false" outlineLevel="0" collapsed="false">
      <c r="A68" s="23" t="n">
        <f aca="false">Anlagen!A68</f>
        <v>64</v>
      </c>
      <c r="B68" s="23" t="str">
        <f aca="false">Anlagen!B68</f>
        <v>Neues Leben</v>
      </c>
      <c r="C68" s="23" t="n">
        <f aca="false">IF(Anlagen!S68&lt;&gt;"",Anlagen!S68,IF(Vorschlag_nutzen=1,Anlagen!Q68,A68))</f>
        <v>49</v>
      </c>
      <c r="D68" s="23" t="n">
        <f aca="false">IF(C68=A68,"",IF(Anlagen!T68&lt;&gt;"",Anlagen!T68,IF(AND(Anlagen!S68="",Vorschlag_nutzen=1,Anlagen!R68&lt;&gt;""),Anlagen!R68,C68)))</f>
        <v>65</v>
      </c>
      <c r="E68" s="23" t="str">
        <f aca="false">IF(C68=A68,IF(COUNTIF($C$5:$C$92,A68)&gt;1,"Gateway-Standort","eigenständig"),"über "&amp;IFERROR(INDEX(Anlagen!$B$5:$B$92,MATCH(D68,Anlagen!$A$5:$A$92,0)),"?"))</f>
        <v>über Neu-Sanssouci</v>
      </c>
      <c r="F68" s="36" t="n">
        <f aca="false">IF(C68=A68,0,IF(Anlagen!V68&lt;&gt;"",Anlagen!V68/1000,IFERROR(SQRT((Anlagen!N68-INDEX(Anlagen!$N$5:$N$92,MATCH(D68,Anlagen!$A$5:$A$92,0)))^2+(Anlagen!O68-INDEX(Anlagen!$O$5:$O$92,MATCH(D68,Anlagen!$A$5:$A$92,0)))^2),0)))</f>
        <v>0.608276253029822</v>
      </c>
      <c r="G68" s="37" t="n">
        <f aca="false">IF(C68=A68,0,IF(Anlagen!V68&lt;&gt;"",Anlagen!V68,F68*1000*Umweg))</f>
        <v>790.759128938768</v>
      </c>
      <c r="H68" s="38" t="n">
        <f aca="false">IF(C68=A68,0,(G68*(P_Faser+P_Tiefbau)+2*P_SFP+P_MontZul)*EK)</f>
        <v>1642.1270451557</v>
      </c>
      <c r="I68" s="38" t="n">
        <f aca="false">IF(C68=A68,0,(P_Saeule+P_Flex+P_NT+P_Halter+P_Luefter+P_Spleiss+P_Ueber)*EK)</f>
        <v>851.326</v>
      </c>
      <c r="J68" s="23" t="n">
        <f aca="false">IF(Anlagen!U68&lt;&gt;"",Anlagen!U68,IF(C68=A68,500,1000)+ROW())</f>
        <v>1068</v>
      </c>
      <c r="K68" s="37" t="n">
        <f aca="false">SUMIFS(Anlagen!$F$5:$F$92,$C$5:$C$92,C68,$J$5:$J$92,"&lt;"&amp;J68)</f>
        <v>324</v>
      </c>
      <c r="L68" s="23" t="n">
        <f aca="false">INT(K68/PG)+1</f>
        <v>6</v>
      </c>
      <c r="M68" s="23" t="n">
        <f aca="false">MAX(L68,CEILING((K68+Anlagen!F68)/PG,1))</f>
        <v>8</v>
      </c>
      <c r="N68" s="23" t="str">
        <f aca="false">IFERROR(INDEX(Anlagen!$B$5:$B$92,MATCH(C68,Anlagen!$A$5:$A$92,0)),"?")&amp;": GW "&amp;L68&amp;IF(M68&gt;L68,"–"&amp;M68,"")</f>
        <v>Helgoland: GW 6–8</v>
      </c>
      <c r="O68" s="31" t="n">
        <f aca="false">Buchungsquote!V68</f>
        <v>32.417176056338</v>
      </c>
      <c r="P68" s="23" t="str">
        <f aca="false">IF(ISNA(MATCH(C68,Anlagen!$A$5:$A$92,0)),"Fehler: Standort unbekannt",IF(C68=A68,"OK",IF(INDEX($C$5:$C$92,MATCH(C68,Anlagen!$A$5:$A$92,0))&lt;&gt;C68,"Fehler: Standort hängt selbst an anderem Standort",IF(D68=A68,"Fehler: Zuleitung von sich selbst",IF(ISNA(MATCH(D68,Anlagen!$A$5:$A$92,0)),"Fehler: Zuleitung unbekannt",IF(INDEX($C$5:$C$92,MATCH(D68,Anlagen!$A$5:$A$92,0))&lt;&gt;C68,"Fehler: Zuleitung hängt an anderem Standort","OK"))))))</f>
        <v>OK</v>
      </c>
      <c r="Q68" s="23" t="str">
        <f aca="false">Anlagen!AA68</f>
        <v>NEUL</v>
      </c>
      <c r="R68" s="23" t="n">
        <f aca="false">IF(Anlagen!AB68&lt;&gt;"",Anlagen!AB68,COUNTIFS($C$5:$C$92,C68,$J$5:$J$92,"&lt;"&amp;J68)+1)</f>
        <v>7</v>
      </c>
      <c r="S68" s="23" t="n">
        <f aca="false">1000+200*(R68-1)+1</f>
        <v>2201</v>
      </c>
      <c r="T68" s="23" t="n">
        <f aca="false">1000+200*(R68-1)+Anlagen!F68</f>
        <v>2262</v>
      </c>
      <c r="U68" s="23" t="n">
        <f aca="false">100+A68</f>
        <v>164</v>
      </c>
      <c r="V68" s="23" t="n">
        <f aca="false">200+A68</f>
        <v>264</v>
      </c>
      <c r="W68" s="23" t="n">
        <f aca="false">300+A68</f>
        <v>364</v>
      </c>
      <c r="X68" s="23" t="str">
        <f aca="false">"10."&amp;A68&amp;".1.0/24"</f>
        <v>10.64.1.0/24</v>
      </c>
      <c r="Y68" s="23" t="str">
        <f aca="false">IF(R68&gt;15,"Fehler: VLAN-Block über 15",IF(COUNTIFS($C$5:$C$92,C68,$R$5:$R$92,R68)&gt;1,"Fehler: VLAN-Block am Standort doppelt",IF(COUNTIF($Q$5:$Q$92,Q68)&gt;1,"Fehler: Kürzel doppelt",IF(Anlagen!F68&gt;199,"Fehler: mehr als 199 Parzellen","OK"))))</f>
        <v>OK</v>
      </c>
    </row>
    <row r="69" customFormat="false" ht="15" hidden="false" customHeight="false" outlineLevel="0" collapsed="false">
      <c r="A69" s="23" t="n">
        <f aca="false">Anlagen!A69</f>
        <v>65</v>
      </c>
      <c r="B69" s="23" t="str">
        <f aca="false">Anlagen!B69</f>
        <v>Neu-Sanssouci</v>
      </c>
      <c r="C69" s="23" t="n">
        <f aca="false">IF(Anlagen!S69&lt;&gt;"",Anlagen!S69,IF(Vorschlag_nutzen=1,Anlagen!Q69,A69))</f>
        <v>49</v>
      </c>
      <c r="D69" s="23" t="n">
        <f aca="false">IF(C69=A69,"",IF(Anlagen!T69&lt;&gt;"",Anlagen!T69,IF(AND(Anlagen!S69="",Vorschlag_nutzen=1,Anlagen!R69&lt;&gt;""),Anlagen!R69,C69)))</f>
        <v>49</v>
      </c>
      <c r="E69" s="23" t="str">
        <f aca="false">IF(C69=A69,IF(COUNTIF($C$5:$C$92,A69)&gt;1,"Gateway-Standort","eigenständig"),"über "&amp;IFERROR(INDEX(Anlagen!$B$5:$B$92,MATCH(D69,Anlagen!$A$5:$A$92,0)),"?"))</f>
        <v>über Helgoland</v>
      </c>
      <c r="F69" s="36" t="n">
        <f aca="false">IF(C69=A69,0,IF(Anlagen!V69&lt;&gt;"",Anlagen!V69/1000,IFERROR(SQRT((Anlagen!N69-INDEX(Anlagen!$N$5:$N$92,MATCH(D69,Anlagen!$A$5:$A$92,0)))^2+(Anlagen!O69-INDEX(Anlagen!$O$5:$O$92,MATCH(D69,Anlagen!$A$5:$A$92,0)))^2),0)))</f>
        <v>0.509901951359278</v>
      </c>
      <c r="G69" s="37" t="n">
        <f aca="false">IF(C69=A69,0,IF(Anlagen!V69&lt;&gt;"",Anlagen!V69,F69*1000*Umweg))</f>
        <v>662.872536767061</v>
      </c>
      <c r="H69" s="38" t="n">
        <f aca="false">IF(C69=A69,0,(G69*(P_Faser+P_Tiefbau)+2*P_SFP+P_MontZul)*EK)</f>
        <v>1413.8494781292</v>
      </c>
      <c r="I69" s="38" t="n">
        <f aca="false">IF(C69=A69,0,(P_Saeule+P_Flex+P_NT+P_Halter+P_Luefter+P_Spleiss+P_Ueber)*EK)</f>
        <v>851.326</v>
      </c>
      <c r="J69" s="23" t="n">
        <f aca="false">IF(Anlagen!U69&lt;&gt;"",Anlagen!U69,IF(C69=A69,500,1000)+ROW())</f>
        <v>1069</v>
      </c>
      <c r="K69" s="37" t="n">
        <f aca="false">SUMIFS(Anlagen!$F$5:$F$92,$C$5:$C$92,C69,$J$5:$J$92,"&lt;"&amp;J69)</f>
        <v>386</v>
      </c>
      <c r="L69" s="23" t="n">
        <f aca="false">INT(K69/PG)+1</f>
        <v>8</v>
      </c>
      <c r="M69" s="23" t="n">
        <f aca="false">MAX(L69,CEILING((K69+Anlagen!F69)/PG,1))</f>
        <v>9</v>
      </c>
      <c r="N69" s="23" t="str">
        <f aca="false">IFERROR(INDEX(Anlagen!$B$5:$B$92,MATCH(C69,Anlagen!$A$5:$A$92,0)),"?")&amp;": GW "&amp;L69&amp;IF(M69&gt;L69,"–"&amp;M69,"")</f>
        <v>Helgoland: GW 8–9</v>
      </c>
      <c r="O69" s="31" t="n">
        <f aca="false">Buchungsquote!V69</f>
        <v>47.9544871794872</v>
      </c>
      <c r="P69" s="23" t="str">
        <f aca="false">IF(ISNA(MATCH(C69,Anlagen!$A$5:$A$92,0)),"Fehler: Standort unbekannt",IF(C69=A69,"OK",IF(INDEX($C$5:$C$92,MATCH(C69,Anlagen!$A$5:$A$92,0))&lt;&gt;C69,"Fehler: Standort hängt selbst an anderem Standort",IF(D69=A69,"Fehler: Zuleitung von sich selbst",IF(ISNA(MATCH(D69,Anlagen!$A$5:$A$92,0)),"Fehler: Zuleitung unbekannt",IF(INDEX($C$5:$C$92,MATCH(D69,Anlagen!$A$5:$A$92,0))&lt;&gt;C69,"Fehler: Zuleitung hängt an anderem Standort","OK"))))))</f>
        <v>OK</v>
      </c>
      <c r="Q69" s="23" t="str">
        <f aca="false">Anlagen!AA69</f>
        <v>NSANS</v>
      </c>
      <c r="R69" s="23" t="n">
        <f aca="false">IF(Anlagen!AB69&lt;&gt;"",Anlagen!AB69,COUNTIFS($C$5:$C$92,C69,$J$5:$J$92,"&lt;"&amp;J69)+1)</f>
        <v>8</v>
      </c>
      <c r="S69" s="23" t="n">
        <f aca="false">1000+200*(R69-1)+1</f>
        <v>2401</v>
      </c>
      <c r="T69" s="23" t="n">
        <f aca="false">1000+200*(R69-1)+Anlagen!F69</f>
        <v>2477</v>
      </c>
      <c r="U69" s="23" t="n">
        <f aca="false">100+A69</f>
        <v>165</v>
      </c>
      <c r="V69" s="23" t="n">
        <f aca="false">200+A69</f>
        <v>265</v>
      </c>
      <c r="W69" s="23" t="n">
        <f aca="false">300+A69</f>
        <v>365</v>
      </c>
      <c r="X69" s="23" t="str">
        <f aca="false">"10."&amp;A69&amp;".1.0/24"</f>
        <v>10.65.1.0/24</v>
      </c>
      <c r="Y69" s="23" t="str">
        <f aca="false">IF(R69&gt;15,"Fehler: VLAN-Block über 15",IF(COUNTIFS($C$5:$C$92,C69,$R$5:$R$92,R69)&gt;1,"Fehler: VLAN-Block am Standort doppelt",IF(COUNTIF($Q$5:$Q$92,Q69)&gt;1,"Fehler: Kürzel doppelt",IF(Anlagen!F69&gt;199,"Fehler: mehr als 199 Parzellen","OK"))))</f>
        <v>OK</v>
      </c>
    </row>
    <row r="70" customFormat="false" ht="15" hidden="false" customHeight="false" outlineLevel="0" collapsed="false">
      <c r="A70" s="23" t="n">
        <f aca="false">Anlagen!A70</f>
        <v>66</v>
      </c>
      <c r="B70" s="23" t="str">
        <f aca="false">Anlagen!B70</f>
        <v>Oase</v>
      </c>
      <c r="C70" s="23" t="n">
        <f aca="false">IF(Anlagen!S70&lt;&gt;"",Anlagen!S70,IF(Vorschlag_nutzen=1,Anlagen!Q70,A70))</f>
        <v>28</v>
      </c>
      <c r="D70" s="23" t="n">
        <f aca="false">IF(C70=A70,"",IF(Anlagen!T70&lt;&gt;"",Anlagen!T70,IF(AND(Anlagen!S70="",Vorschlag_nutzen=1,Anlagen!R70&lt;&gt;""),Anlagen!R70,C70)))</f>
        <v>29</v>
      </c>
      <c r="E70" s="23" t="str">
        <f aca="false">IF(C70=A70,IF(COUNTIF($C$5:$C$92,A70)&gt;1,"Gateway-Standort","eigenständig"),"über "&amp;IFERROR(INDEX(Anlagen!$B$5:$B$92,MATCH(D70,Anlagen!$A$5:$A$92,0)),"?"))</f>
        <v>über Erntesegen</v>
      </c>
      <c r="F70" s="36" t="n">
        <f aca="false">IF(C70=A70,0,IF(Anlagen!V70&lt;&gt;"",Anlagen!V70/1000,IFERROR(SQRT((Anlagen!N70-INDEX(Anlagen!$N$5:$N$92,MATCH(D70,Anlagen!$A$5:$A$92,0)))^2+(Anlagen!O70-INDEX(Anlagen!$O$5:$O$92,MATCH(D70,Anlagen!$A$5:$A$92,0)))^2),0)))</f>
        <v>0.711196175467782</v>
      </c>
      <c r="G70" s="37" t="n">
        <f aca="false">IF(C70=A70,0,IF(Anlagen!V70&lt;&gt;"",Anlagen!V70,F70*1000*Umweg))</f>
        <v>924.555028108117</v>
      </c>
      <c r="H70" s="38" t="n">
        <f aca="false">IF(C70=A70,0,(G70*(P_Faser+P_Tiefbau)+2*P_SFP+P_MontZul)*EK)</f>
        <v>1880.95272517299</v>
      </c>
      <c r="I70" s="38" t="n">
        <f aca="false">IF(C70=A70,0,(P_Saeule+P_Flex+P_NT+P_Halter+P_Luefter+P_Spleiss+P_Ueber)*EK)</f>
        <v>851.326</v>
      </c>
      <c r="J70" s="23" t="n">
        <f aca="false">IF(Anlagen!U70&lt;&gt;"",Anlagen!U70,IF(C70=A70,500,1000)+ROW())</f>
        <v>1070</v>
      </c>
      <c r="K70" s="37" t="n">
        <f aca="false">SUMIFS(Anlagen!$F$5:$F$92,$C$5:$C$92,C70,$J$5:$J$92,"&lt;"&amp;J70)</f>
        <v>270</v>
      </c>
      <c r="L70" s="23" t="n">
        <f aca="false">INT(K70/PG)+1</f>
        <v>5</v>
      </c>
      <c r="M70" s="23" t="n">
        <f aca="false">MAX(L70,CEILING((K70+Anlagen!F70)/PG,1))</f>
        <v>6</v>
      </c>
      <c r="N70" s="23" t="str">
        <f aca="false">IFERROR(INDEX(Anlagen!$B$5:$B$92,MATCH(C70,Anlagen!$A$5:$A$92,0)),"?")&amp;": GW "&amp;L70&amp;IF(M70&gt;L70,"–"&amp;M70,"")</f>
        <v>Erdenglück: GW 5–6</v>
      </c>
      <c r="O70" s="31" t="n">
        <f aca="false">Buchungsquote!V70</f>
        <v>32.1380546075085</v>
      </c>
      <c r="P70" s="23" t="str">
        <f aca="false">IF(ISNA(MATCH(C70,Anlagen!$A$5:$A$92,0)),"Fehler: Standort unbekannt",IF(C70=A70,"OK",IF(INDEX($C$5:$C$92,MATCH(C70,Anlagen!$A$5:$A$92,0))&lt;&gt;C70,"Fehler: Standort hängt selbst an anderem Standort",IF(D70=A70,"Fehler: Zuleitung von sich selbst",IF(ISNA(MATCH(D70,Anlagen!$A$5:$A$92,0)),"Fehler: Zuleitung unbekannt",IF(INDEX($C$5:$C$92,MATCH(D70,Anlagen!$A$5:$A$92,0))&lt;&gt;C70,"Fehler: Zuleitung hängt an anderem Standort","OK"))))))</f>
        <v>OK</v>
      </c>
      <c r="Q70" s="23" t="str">
        <f aca="false">Anlagen!AA70</f>
        <v>OASE</v>
      </c>
      <c r="R70" s="23" t="n">
        <f aca="false">IF(Anlagen!AB70&lt;&gt;"",Anlagen!AB70,COUNTIFS($C$5:$C$92,C70,$J$5:$J$92,"&lt;"&amp;J70)+1)</f>
        <v>6</v>
      </c>
      <c r="S70" s="23" t="n">
        <f aca="false">1000+200*(R70-1)+1</f>
        <v>2001</v>
      </c>
      <c r="T70" s="23" t="n">
        <f aca="false">1000+200*(R70-1)+Anlagen!F70</f>
        <v>2047</v>
      </c>
      <c r="U70" s="23" t="n">
        <f aca="false">100+A70</f>
        <v>166</v>
      </c>
      <c r="V70" s="23" t="n">
        <f aca="false">200+A70</f>
        <v>266</v>
      </c>
      <c r="W70" s="23" t="n">
        <f aca="false">300+A70</f>
        <v>366</v>
      </c>
      <c r="X70" s="23" t="str">
        <f aca="false">"10."&amp;A70&amp;".1.0/24"</f>
        <v>10.66.1.0/24</v>
      </c>
      <c r="Y70" s="23" t="str">
        <f aca="false">IF(R70&gt;15,"Fehler: VLAN-Block über 15",IF(COUNTIFS($C$5:$C$92,C70,$R$5:$R$92,R70)&gt;1,"Fehler: VLAN-Block am Standort doppelt",IF(COUNTIF($Q$5:$Q$92,Q70)&gt;1,"Fehler: Kürzel doppelt",IF(Anlagen!F70&gt;199,"Fehler: mehr als 199 Parzellen","OK"))))</f>
        <v>OK</v>
      </c>
    </row>
    <row r="71" customFormat="false" ht="15" hidden="false" customHeight="false" outlineLevel="0" collapsed="false">
      <c r="A71" s="23" t="n">
        <f aca="false">Anlagen!A71</f>
        <v>67</v>
      </c>
      <c r="B71" s="23" t="str">
        <f aca="false">Anlagen!B71</f>
        <v>Pferdewiese</v>
      </c>
      <c r="C71" s="23" t="n">
        <f aca="false">IF(Anlagen!S71&lt;&gt;"",Anlagen!S71,IF(Vorschlag_nutzen=1,Anlagen!Q71,A71))</f>
        <v>16</v>
      </c>
      <c r="D71" s="23" t="n">
        <f aca="false">IF(C71=A71,"",IF(Anlagen!T71&lt;&gt;"",Anlagen!T71,IF(AND(Anlagen!S71="",Vorschlag_nutzen=1,Anlagen!R71&lt;&gt;""),Anlagen!R71,C71)))</f>
        <v>16</v>
      </c>
      <c r="E71" s="23" t="str">
        <f aca="false">IF(C71=A71,IF(COUNTIF($C$5:$C$92,A71)&gt;1,"Gateway-Standort","eigenständig"),"über "&amp;IFERROR(INDEX(Anlagen!$B$5:$B$92,MATCH(D71,Anlagen!$A$5:$A$92,0)),"?"))</f>
        <v>über Bergfrieden</v>
      </c>
      <c r="F71" s="36" t="n">
        <f aca="false">IF(C71=A71,0,IF(Anlagen!V71&lt;&gt;"",Anlagen!V71/1000,IFERROR(SQRT((Anlagen!N71-INDEX(Anlagen!$N$5:$N$92,MATCH(D71,Anlagen!$A$5:$A$92,0)))^2+(Anlagen!O71-INDEX(Anlagen!$O$5:$O$92,MATCH(D71,Anlagen!$A$5:$A$92,0)))^2),0)))</f>
        <v>0.992975326984513</v>
      </c>
      <c r="G71" s="37" t="n">
        <f aca="false">IF(C71=A71,0,IF(Anlagen!V71&lt;&gt;"",Anlagen!V71,F71*1000*Umweg))</f>
        <v>1290.86792507987</v>
      </c>
      <c r="H71" s="38" t="n">
        <f aca="false">IF(C71=A71,0,(G71*(P_Faser+P_Tiefbau)+2*P_SFP+P_MontZul)*EK)</f>
        <v>2534.82124626756</v>
      </c>
      <c r="I71" s="38" t="n">
        <f aca="false">IF(C71=A71,0,(P_Saeule+P_Flex+P_NT+P_Halter+P_Luefter+P_Spleiss+P_Ueber)*EK)</f>
        <v>851.326</v>
      </c>
      <c r="J71" s="23" t="n">
        <f aca="false">IF(Anlagen!U71&lt;&gt;"",Anlagen!U71,IF(C71=A71,500,1000)+ROW())</f>
        <v>1071</v>
      </c>
      <c r="K71" s="37" t="n">
        <f aca="false">SUMIFS(Anlagen!$F$5:$F$92,$C$5:$C$92,C71,$J$5:$J$92,"&lt;"&amp;J71)</f>
        <v>130</v>
      </c>
      <c r="L71" s="23" t="n">
        <f aca="false">INT(K71/PG)+1</f>
        <v>3</v>
      </c>
      <c r="M71" s="23" t="n">
        <f aca="false">MAX(L71,CEILING((K71+Anlagen!F71)/PG,1))</f>
        <v>4</v>
      </c>
      <c r="N71" s="23" t="str">
        <f aca="false">IFERROR(INDEX(Anlagen!$B$5:$B$92,MATCH(C71,Anlagen!$A$5:$A$92,0)),"?")&amp;": GW "&amp;L71&amp;IF(M71&gt;L71,"–"&amp;M71,"")</f>
        <v>Bergfrieden: GW 3–4</v>
      </c>
      <c r="O71" s="31" t="n">
        <f aca="false">Buchungsquote!V71</f>
        <v>28.0077906976744</v>
      </c>
      <c r="P71" s="23" t="str">
        <f aca="false">IF(ISNA(MATCH(C71,Anlagen!$A$5:$A$92,0)),"Fehler: Standort unbekannt",IF(C71=A71,"OK",IF(INDEX($C$5:$C$92,MATCH(C71,Anlagen!$A$5:$A$92,0))&lt;&gt;C71,"Fehler: Standort hängt selbst an anderem Standort",IF(D71=A71,"Fehler: Zuleitung von sich selbst",IF(ISNA(MATCH(D71,Anlagen!$A$5:$A$92,0)),"Fehler: Zuleitung unbekannt",IF(INDEX($C$5:$C$92,MATCH(D71,Anlagen!$A$5:$A$92,0))&lt;&gt;C71,"Fehler: Zuleitung hängt an anderem Standort","OK"))))))</f>
        <v>OK</v>
      </c>
      <c r="Q71" s="23" t="str">
        <f aca="false">Anlagen!AA71</f>
        <v>PFERD</v>
      </c>
      <c r="R71" s="23" t="n">
        <f aca="false">IF(Anlagen!AB71&lt;&gt;"",Anlagen!AB71,COUNTIFS($C$5:$C$92,C71,$J$5:$J$92,"&lt;"&amp;J71)+1)</f>
        <v>2</v>
      </c>
      <c r="S71" s="23" t="n">
        <f aca="false">1000+200*(R71-1)+1</f>
        <v>1201</v>
      </c>
      <c r="T71" s="23" t="n">
        <f aca="false">1000+200*(R71-1)+Anlagen!F71</f>
        <v>1255</v>
      </c>
      <c r="U71" s="23" t="n">
        <f aca="false">100+A71</f>
        <v>167</v>
      </c>
      <c r="V71" s="23" t="n">
        <f aca="false">200+A71</f>
        <v>267</v>
      </c>
      <c r="W71" s="23" t="n">
        <f aca="false">300+A71</f>
        <v>367</v>
      </c>
      <c r="X71" s="23" t="str">
        <f aca="false">"10."&amp;A71&amp;".1.0/24"</f>
        <v>10.67.1.0/24</v>
      </c>
      <c r="Y71" s="23" t="str">
        <f aca="false">IF(R71&gt;15,"Fehler: VLAN-Block über 15",IF(COUNTIFS($C$5:$C$92,C71,$R$5:$R$92,R71)&gt;1,"Fehler: VLAN-Block am Standort doppelt",IF(COUNTIF($Q$5:$Q$92,Q71)&gt;1,"Fehler: Kürzel doppelt",IF(Anlagen!F71&gt;199,"Fehler: mehr als 199 Parzellen","OK"))))</f>
        <v>OK</v>
      </c>
    </row>
    <row r="72" customFormat="false" ht="15" hidden="false" customHeight="false" outlineLevel="0" collapsed="false">
      <c r="A72" s="23" t="n">
        <f aca="false">Anlagen!A72</f>
        <v>68</v>
      </c>
      <c r="B72" s="23" t="str">
        <f aca="false">Anlagen!B72</f>
        <v>Plane II</v>
      </c>
      <c r="C72" s="23" t="n">
        <f aca="false">IF(Anlagen!S72&lt;&gt;"",Anlagen!S72,IF(Vorschlag_nutzen=1,Anlagen!Q72,A72))</f>
        <v>73</v>
      </c>
      <c r="D72" s="23" t="n">
        <f aca="false">IF(C72=A72,"",IF(Anlagen!T72&lt;&gt;"",Anlagen!T72,IF(AND(Anlagen!S72="",Vorschlag_nutzen=1,Anlagen!R72&lt;&gt;""),Anlagen!R72,C72)))</f>
        <v>40</v>
      </c>
      <c r="E72" s="23" t="str">
        <f aca="false">IF(C72=A72,IF(COUNTIF($C$5:$C$92,A72)&gt;1,"Gateway-Standort","eigenständig"),"über "&amp;IFERROR(INDEX(Anlagen!$B$5:$B$92,MATCH(D72,Anlagen!$A$5:$A$92,0)),"?"))</f>
        <v>über Glück Auf</v>
      </c>
      <c r="F72" s="36" t="n">
        <f aca="false">IF(C72=A72,0,IF(Anlagen!V72&lt;&gt;"",Anlagen!V72/1000,IFERROR(SQRT((Anlagen!N72-INDEX(Anlagen!$N$5:$N$92,MATCH(D72,Anlagen!$A$5:$A$92,0)))^2+(Anlagen!O72-INDEX(Anlagen!$O$5:$O$92,MATCH(D72,Anlagen!$A$5:$A$92,0)))^2),0)))</f>
        <v>1.33824511955023</v>
      </c>
      <c r="G72" s="37" t="n">
        <f aca="false">IF(C72=A72,0,IF(Anlagen!V72&lt;&gt;"",Anlagen!V72,F72*1000*Umweg))</f>
        <v>1739.71865541529</v>
      </c>
      <c r="H72" s="38" t="n">
        <f aca="false">IF(C72=A72,0,(G72*(P_Faser+P_Tiefbau)+2*P_SFP+P_MontZul)*EK)</f>
        <v>3336.0197999163</v>
      </c>
      <c r="I72" s="38" t="n">
        <f aca="false">IF(C72=A72,0,(P_Saeule+P_Flex+P_NT+P_Halter+P_Luefter+P_Spleiss+P_Ueber)*EK)</f>
        <v>851.326</v>
      </c>
      <c r="J72" s="23" t="n">
        <f aca="false">IF(Anlagen!U72&lt;&gt;"",Anlagen!U72,IF(C72=A72,500,1000)+ROW())</f>
        <v>1072</v>
      </c>
      <c r="K72" s="37" t="n">
        <f aca="false">SUMIFS(Anlagen!$F$5:$F$92,$C$5:$C$92,C72,$J$5:$J$92,"&lt;"&amp;J72)</f>
        <v>269</v>
      </c>
      <c r="L72" s="23" t="n">
        <f aca="false">INT(K72/PG)+1</f>
        <v>5</v>
      </c>
      <c r="M72" s="23" t="n">
        <f aca="false">MAX(L72,CEILING((K72+Anlagen!F72)/PG,1))</f>
        <v>6</v>
      </c>
      <c r="N72" s="23" t="str">
        <f aca="false">IFERROR(INDEX(Anlagen!$B$5:$B$92,MATCH(C72,Anlagen!$A$5:$A$92,0)),"?")&amp;": GW "&amp;L72&amp;IF(M72&gt;L72,"–"&amp;M72,"")</f>
        <v>Sommerfreude II: GW 5–6</v>
      </c>
      <c r="O72" s="31" t="n">
        <f aca="false">Buchungsquote!V72</f>
        <v>15.1666666666667</v>
      </c>
      <c r="P72" s="23" t="str">
        <f aca="false">IF(ISNA(MATCH(C72,Anlagen!$A$5:$A$92,0)),"Fehler: Standort unbekannt",IF(C72=A72,"OK",IF(INDEX($C$5:$C$92,MATCH(C72,Anlagen!$A$5:$A$92,0))&lt;&gt;C72,"Fehler: Standort hängt selbst an anderem Standort",IF(D72=A72,"Fehler: Zuleitung von sich selbst",IF(ISNA(MATCH(D72,Anlagen!$A$5:$A$92,0)),"Fehler: Zuleitung unbekannt",IF(INDEX($C$5:$C$92,MATCH(D72,Anlagen!$A$5:$A$92,0))&lt;&gt;C72,"Fehler: Zuleitung hängt an anderem Standort","OK"))))))</f>
        <v>OK</v>
      </c>
      <c r="Q72" s="23" t="str">
        <f aca="false">Anlagen!AA72</f>
        <v>PLAN2</v>
      </c>
      <c r="R72" s="23" t="n">
        <f aca="false">IF(Anlagen!AB72&lt;&gt;"",Anlagen!AB72,COUNTIFS($C$5:$C$92,C72,$J$5:$J$92,"&lt;"&amp;J72)+1)</f>
        <v>6</v>
      </c>
      <c r="S72" s="23" t="n">
        <f aca="false">1000+200*(R72-1)+1</f>
        <v>2001</v>
      </c>
      <c r="T72" s="23" t="n">
        <f aca="false">1000+200*(R72-1)+Anlagen!F72</f>
        <v>2028</v>
      </c>
      <c r="U72" s="23" t="n">
        <f aca="false">100+A72</f>
        <v>168</v>
      </c>
      <c r="V72" s="23" t="n">
        <f aca="false">200+A72</f>
        <v>268</v>
      </c>
      <c r="W72" s="23" t="n">
        <f aca="false">300+A72</f>
        <v>368</v>
      </c>
      <c r="X72" s="23" t="str">
        <f aca="false">"10."&amp;A72&amp;".1.0/24"</f>
        <v>10.68.1.0/24</v>
      </c>
      <c r="Y72" s="23" t="str">
        <f aca="false">IF(R72&gt;15,"Fehler: VLAN-Block über 15",IF(COUNTIFS($C$5:$C$92,C72,$R$5:$R$92,R72)&gt;1,"Fehler: VLAN-Block am Standort doppelt",IF(COUNTIF($Q$5:$Q$92,Q72)&gt;1,"Fehler: Kürzel doppelt",IF(Anlagen!F72&gt;199,"Fehler: mehr als 199 Parzellen","OK"))))</f>
        <v>OK</v>
      </c>
    </row>
    <row r="73" customFormat="false" ht="15" hidden="false" customHeight="false" outlineLevel="0" collapsed="false">
      <c r="A73" s="23" t="n">
        <f aca="false">Anlagen!A73</f>
        <v>69</v>
      </c>
      <c r="B73" s="23" t="str">
        <f aca="false">Anlagen!B73</f>
        <v>Platz der Einheit</v>
      </c>
      <c r="C73" s="23" t="n">
        <f aca="false">IF(Anlagen!S73&lt;&gt;"",Anlagen!S73,IF(Vorschlag_nutzen=1,Anlagen!Q73,A73))</f>
        <v>57</v>
      </c>
      <c r="D73" s="23" t="n">
        <f aca="false">IF(C73=A73,"",IF(Anlagen!T73&lt;&gt;"",Anlagen!T73,IF(AND(Anlagen!S73="",Vorschlag_nutzen=1,Anlagen!R73&lt;&gt;""),Anlagen!R73,C73)))</f>
        <v>57</v>
      </c>
      <c r="E73" s="23" t="str">
        <f aca="false">IF(C73=A73,IF(COUNTIF($C$5:$C$92,A73)&gt;1,"Gateway-Standort","eigenständig"),"über "&amp;IFERROR(INDEX(Anlagen!$B$5:$B$92,MATCH(D73,Anlagen!$A$5:$A$92,0)),"?"))</f>
        <v>über Kirchmöser-Dorf</v>
      </c>
      <c r="F73" s="36" t="n">
        <f aca="false">IF(C73=A73,0,IF(Anlagen!V73&lt;&gt;"",Anlagen!V73/1000,IFERROR(SQRT((Anlagen!N73-INDEX(Anlagen!$N$5:$N$92,MATCH(D73,Anlagen!$A$5:$A$92,0)))^2+(Anlagen!O73-INDEX(Anlagen!$O$5:$O$92,MATCH(D73,Anlagen!$A$5:$A$92,0)))^2),0)))</f>
        <v>0.58412327466041</v>
      </c>
      <c r="G73" s="37" t="n">
        <f aca="false">IF(C73=A73,0,IF(Anlagen!V73&lt;&gt;"",Anlagen!V73,F73*1000*Umweg))</f>
        <v>759.360257058533</v>
      </c>
      <c r="H73" s="38" t="n">
        <f aca="false">IF(C73=A73,0,(G73*(P_Faser+P_Tiefbau)+2*P_SFP+P_MontZul)*EK)</f>
        <v>1586.08005884948</v>
      </c>
      <c r="I73" s="38" t="n">
        <f aca="false">IF(C73=A73,0,(P_Saeule+P_Flex+P_NT+P_Halter+P_Luefter+P_Spleiss+P_Ueber)*EK)</f>
        <v>851.326</v>
      </c>
      <c r="J73" s="23" t="n">
        <f aca="false">IF(Anlagen!U73&lt;&gt;"",Anlagen!U73,IF(C73=A73,500,1000)+ROW())</f>
        <v>1073</v>
      </c>
      <c r="K73" s="37" t="n">
        <f aca="false">SUMIFS(Anlagen!$F$5:$F$92,$C$5:$C$92,C73,$J$5:$J$92,"&lt;"&amp;J73)</f>
        <v>48</v>
      </c>
      <c r="L73" s="23" t="n">
        <f aca="false">INT(K73/PG)+1</f>
        <v>1</v>
      </c>
      <c r="M73" s="23" t="n">
        <f aca="false">MAX(L73,CEILING((K73+Anlagen!F73)/PG,1))</f>
        <v>2</v>
      </c>
      <c r="N73" s="23" t="str">
        <f aca="false">IFERROR(INDEX(Anlagen!$B$5:$B$92,MATCH(C73,Anlagen!$A$5:$A$92,0)),"?")&amp;": GW "&amp;L73&amp;IF(M73&gt;L73,"–"&amp;M73,"")</f>
        <v>Kirchmöser-Dorf: GW 1–2</v>
      </c>
      <c r="O73" s="31" t="n">
        <f aca="false">Buchungsquote!V73</f>
        <v>26.8131907894737</v>
      </c>
      <c r="P73" s="23" t="str">
        <f aca="false">IF(ISNA(MATCH(C73,Anlagen!$A$5:$A$92,0)),"Fehler: Standort unbekannt",IF(C73=A73,"OK",IF(INDEX($C$5:$C$92,MATCH(C73,Anlagen!$A$5:$A$92,0))&lt;&gt;C73,"Fehler: Standort hängt selbst an anderem Standort",IF(D73=A73,"Fehler: Zuleitung von sich selbst",IF(ISNA(MATCH(D73,Anlagen!$A$5:$A$92,0)),"Fehler: Zuleitung unbekannt",IF(INDEX($C$5:$C$92,MATCH(D73,Anlagen!$A$5:$A$92,0))&lt;&gt;C73,"Fehler: Zuleitung hängt an anderem Standort","OK"))))))</f>
        <v>OK</v>
      </c>
      <c r="Q73" s="23" t="str">
        <f aca="false">Anlagen!AA73</f>
        <v>PLEIN</v>
      </c>
      <c r="R73" s="23" t="n">
        <f aca="false">IF(Anlagen!AB73&lt;&gt;"",Anlagen!AB73,COUNTIFS($C$5:$C$92,C73,$J$5:$J$92,"&lt;"&amp;J73)+1)</f>
        <v>2</v>
      </c>
      <c r="S73" s="23" t="n">
        <f aca="false">1000+200*(R73-1)+1</f>
        <v>1201</v>
      </c>
      <c r="T73" s="23" t="n">
        <f aca="false">1000+200*(R73-1)+Anlagen!F73</f>
        <v>1248</v>
      </c>
      <c r="U73" s="23" t="n">
        <f aca="false">100+A73</f>
        <v>169</v>
      </c>
      <c r="V73" s="23" t="n">
        <f aca="false">200+A73</f>
        <v>269</v>
      </c>
      <c r="W73" s="23" t="n">
        <f aca="false">300+A73</f>
        <v>369</v>
      </c>
      <c r="X73" s="23" t="str">
        <f aca="false">"10."&amp;A73&amp;".1.0/24"</f>
        <v>10.69.1.0/24</v>
      </c>
      <c r="Y73" s="23" t="str">
        <f aca="false">IF(R73&gt;15,"Fehler: VLAN-Block über 15",IF(COUNTIFS($C$5:$C$92,C73,$R$5:$R$92,R73)&gt;1,"Fehler: VLAN-Block am Standort doppelt",IF(COUNTIF($Q$5:$Q$92,Q73)&gt;1,"Fehler: Kürzel doppelt",IF(Anlagen!F73&gt;199,"Fehler: mehr als 199 Parzellen","OK"))))</f>
        <v>OK</v>
      </c>
    </row>
    <row r="74" customFormat="false" ht="15" hidden="false" customHeight="false" outlineLevel="0" collapsed="false">
      <c r="A74" s="23" t="n">
        <f aca="false">Anlagen!A74</f>
        <v>70</v>
      </c>
      <c r="B74" s="23" t="str">
        <f aca="false">Anlagen!B74</f>
        <v>Sandfurth-Oase</v>
      </c>
      <c r="C74" s="23" t="n">
        <f aca="false">IF(Anlagen!S74&lt;&gt;"",Anlagen!S74,IF(Vorschlag_nutzen=1,Anlagen!Q74,A74))</f>
        <v>73</v>
      </c>
      <c r="D74" s="23" t="n">
        <f aca="false">IF(C74=A74,"",IF(Anlagen!T74&lt;&gt;"",Anlagen!T74,IF(AND(Anlagen!S74="",Vorschlag_nutzen=1,Anlagen!R74&lt;&gt;""),Anlagen!R74,C74)))</f>
        <v>18</v>
      </c>
      <c r="E74" s="23" t="str">
        <f aca="false">IF(C74=A74,IF(COUNTIF($C$5:$C$92,A74)&gt;1,"Gateway-Standort","eigenständig"),"über "&amp;IFERROR(INDEX(Anlagen!$B$5:$B$92,MATCH(D74,Anlagen!$A$5:$A$92,0)),"?"))</f>
        <v>über BKV Pfefferland</v>
      </c>
      <c r="F74" s="36" t="n">
        <f aca="false">IF(C74=A74,0,IF(Anlagen!V74&lt;&gt;"",Anlagen!V74/1000,IFERROR(SQRT((Anlagen!N74-INDEX(Anlagen!$N$5:$N$92,MATCH(D74,Anlagen!$A$5:$A$92,0)))^2+(Anlagen!O74-INDEX(Anlagen!$O$5:$O$92,MATCH(D74,Anlagen!$A$5:$A$92,0)))^2),0)))</f>
        <v>0.384707681233427</v>
      </c>
      <c r="G74" s="37" t="n">
        <f aca="false">IF(C74=A74,0,IF(Anlagen!V74&lt;&gt;"",Anlagen!V74,F74*1000*Umweg))</f>
        <v>500.119985603455</v>
      </c>
      <c r="H74" s="38" t="n">
        <f aca="false">IF(C74=A74,0,(G74*(P_Faser+P_Tiefbau)+2*P_SFP+P_MontZul)*EK)</f>
        <v>1123.33617430217</v>
      </c>
      <c r="I74" s="38" t="n">
        <f aca="false">IF(C74=A74,0,(P_Saeule+P_Flex+P_NT+P_Halter+P_Luefter+P_Spleiss+P_Ueber)*EK)</f>
        <v>851.326</v>
      </c>
      <c r="J74" s="23" t="n">
        <f aca="false">IF(Anlagen!U74&lt;&gt;"",Anlagen!U74,IF(C74=A74,500,1000)+ROW())</f>
        <v>1074</v>
      </c>
      <c r="K74" s="37" t="n">
        <f aca="false">SUMIFS(Anlagen!$F$5:$F$92,$C$5:$C$92,C74,$J$5:$J$92,"&lt;"&amp;J74)</f>
        <v>297</v>
      </c>
      <c r="L74" s="23" t="n">
        <f aca="false">INT(K74/PG)+1</f>
        <v>6</v>
      </c>
      <c r="M74" s="23" t="n">
        <f aca="false">MAX(L74,CEILING((K74+Anlagen!F74)/PG,1))</f>
        <v>6</v>
      </c>
      <c r="N74" s="23" t="str">
        <f aca="false">IFERROR(INDEX(Anlagen!$B$5:$B$92,MATCH(C74,Anlagen!$A$5:$A$92,0)),"?")&amp;": GW "&amp;L74&amp;IF(M74&gt;L74,"–"&amp;M74,"")</f>
        <v>Sommerfreude II: GW 6</v>
      </c>
      <c r="O74" s="31" t="n">
        <f aca="false">Buchungsquote!V74</f>
        <v>8.99619289340102</v>
      </c>
      <c r="P74" s="23" t="str">
        <f aca="false">IF(ISNA(MATCH(C74,Anlagen!$A$5:$A$92,0)),"Fehler: Standort unbekannt",IF(C74=A74,"OK",IF(INDEX($C$5:$C$92,MATCH(C74,Anlagen!$A$5:$A$92,0))&lt;&gt;C74,"Fehler: Standort hängt selbst an anderem Standort",IF(D74=A74,"Fehler: Zuleitung von sich selbst",IF(ISNA(MATCH(D74,Anlagen!$A$5:$A$92,0)),"Fehler: Zuleitung unbekannt",IF(INDEX($C$5:$C$92,MATCH(D74,Anlagen!$A$5:$A$92,0))&lt;&gt;C74,"Fehler: Zuleitung hängt an anderem Standort","OK"))))))</f>
        <v>OK</v>
      </c>
      <c r="Q74" s="23" t="str">
        <f aca="false">Anlagen!AA74</f>
        <v>SFOAS</v>
      </c>
      <c r="R74" s="23" t="n">
        <f aca="false">IF(Anlagen!AB74&lt;&gt;"",Anlagen!AB74,COUNTIFS($C$5:$C$92,C74,$J$5:$J$92,"&lt;"&amp;J74)+1)</f>
        <v>7</v>
      </c>
      <c r="S74" s="23" t="n">
        <f aca="false">1000+200*(R74-1)+1</f>
        <v>2201</v>
      </c>
      <c r="T74" s="23" t="n">
        <f aca="false">1000+200*(R74-1)+Anlagen!F74</f>
        <v>2215</v>
      </c>
      <c r="U74" s="23" t="n">
        <f aca="false">100+A74</f>
        <v>170</v>
      </c>
      <c r="V74" s="23" t="n">
        <f aca="false">200+A74</f>
        <v>270</v>
      </c>
      <c r="W74" s="23" t="n">
        <f aca="false">300+A74</f>
        <v>370</v>
      </c>
      <c r="X74" s="23" t="str">
        <f aca="false">"10."&amp;A74&amp;".1.0/24"</f>
        <v>10.70.1.0/24</v>
      </c>
      <c r="Y74" s="23" t="str">
        <f aca="false">IF(R74&gt;15,"Fehler: VLAN-Block über 15",IF(COUNTIFS($C$5:$C$92,C74,$R$5:$R$92,R74)&gt;1,"Fehler: VLAN-Block am Standort doppelt",IF(COUNTIF($Q$5:$Q$92,Q74)&gt;1,"Fehler: Kürzel doppelt",IF(Anlagen!F74&gt;199,"Fehler: mehr als 199 Parzellen","OK"))))</f>
        <v>OK</v>
      </c>
    </row>
    <row r="75" customFormat="false" ht="15" hidden="false" customHeight="false" outlineLevel="0" collapsed="false">
      <c r="A75" s="23" t="n">
        <f aca="false">Anlagen!A75</f>
        <v>71</v>
      </c>
      <c r="B75" s="23" t="str">
        <f aca="false">Anlagen!B75</f>
        <v>Sanssouci</v>
      </c>
      <c r="C75" s="23" t="n">
        <f aca="false">IF(Anlagen!S75&lt;&gt;"",Anlagen!S75,IF(Vorschlag_nutzen=1,Anlagen!Q75,A75))</f>
        <v>23</v>
      </c>
      <c r="D75" s="23" t="n">
        <f aca="false">IF(C75=A75,"",IF(Anlagen!T75&lt;&gt;"",Anlagen!T75,IF(AND(Anlagen!S75="",Vorschlag_nutzen=1,Anlagen!R75&lt;&gt;""),Anlagen!R75,C75)))</f>
        <v>55</v>
      </c>
      <c r="E75" s="23" t="str">
        <f aca="false">IF(C75=A75,IF(COUNTIF($C$5:$C$92,A75)&gt;1,"Gateway-Standort","eigenständig"),"über "&amp;IFERROR(INDEX(Anlagen!$B$5:$B$92,MATCH(D75,Anlagen!$A$5:$A$92,0)),"?"))</f>
        <v>über Jakobswerder</v>
      </c>
      <c r="F75" s="36" t="n">
        <f aca="false">IF(C75=A75,0,IF(Anlagen!V75&lt;&gt;"",Anlagen!V75/1000,IFERROR(SQRT((Anlagen!N75-INDEX(Anlagen!$N$5:$N$92,MATCH(D75,Anlagen!$A$5:$A$92,0)))^2+(Anlagen!O75-INDEX(Anlagen!$O$5:$O$92,MATCH(D75,Anlagen!$A$5:$A$92,0)))^2),0)))</f>
        <v>0.94</v>
      </c>
      <c r="G75" s="37" t="n">
        <f aca="false">IF(C75=A75,0,IF(Anlagen!V75&lt;&gt;"",Anlagen!V75,F75*1000*Umweg))</f>
        <v>1222</v>
      </c>
      <c r="H75" s="38" t="n">
        <f aca="false">IF(C75=A75,0,(G75*(P_Faser+P_Tiefbau)+2*P_SFP+P_MontZul)*EK)</f>
        <v>2411.892</v>
      </c>
      <c r="I75" s="38" t="n">
        <f aca="false">IF(C75=A75,0,(P_Saeule+P_Flex+P_NT+P_Halter+P_Luefter+P_Spleiss+P_Ueber)*EK)</f>
        <v>851.326</v>
      </c>
      <c r="J75" s="23" t="n">
        <f aca="false">IF(Anlagen!U75&lt;&gt;"",Anlagen!U75,IF(C75=A75,500,1000)+ROW())</f>
        <v>1075</v>
      </c>
      <c r="K75" s="37" t="n">
        <f aca="false">SUMIFS(Anlagen!$F$5:$F$92,$C$5:$C$92,C75,$J$5:$J$92,"&lt;"&amp;J75)</f>
        <v>470</v>
      </c>
      <c r="L75" s="23" t="n">
        <f aca="false">INT(K75/PG)+1</f>
        <v>9</v>
      </c>
      <c r="M75" s="23" t="n">
        <f aca="false">MAX(L75,CEILING((K75+Anlagen!F75)/PG,1))</f>
        <v>10</v>
      </c>
      <c r="N75" s="23" t="str">
        <f aca="false">IFERROR(INDEX(Anlagen!$B$5:$B$92,MATCH(C75,Anlagen!$A$5:$A$92,0)),"?")&amp;": GW "&amp;L75&amp;IF(M75&gt;L75,"–"&amp;M75,"")</f>
        <v>Eigener Fleiß: GW 9–10</v>
      </c>
      <c r="O75" s="31" t="n">
        <f aca="false">Buchungsquote!V75</f>
        <v>22.135142118863</v>
      </c>
      <c r="P75" s="23" t="str">
        <f aca="false">IF(ISNA(MATCH(C75,Anlagen!$A$5:$A$92,0)),"Fehler: Standort unbekannt",IF(C75=A75,"OK",IF(INDEX($C$5:$C$92,MATCH(C75,Anlagen!$A$5:$A$92,0))&lt;&gt;C75,"Fehler: Standort hängt selbst an anderem Standort",IF(D75=A75,"Fehler: Zuleitung von sich selbst",IF(ISNA(MATCH(D75,Anlagen!$A$5:$A$92,0)),"Fehler: Zuleitung unbekannt",IF(INDEX($C$5:$C$92,MATCH(D75,Anlagen!$A$5:$A$92,0))&lt;&gt;C75,"Fehler: Zuleitung hängt an anderem Standort","OK"))))))</f>
        <v>OK</v>
      </c>
      <c r="Q75" s="23" t="str">
        <f aca="false">Anlagen!AA75</f>
        <v>SANS</v>
      </c>
      <c r="R75" s="23" t="n">
        <f aca="false">IF(Anlagen!AB75&lt;&gt;"",Anlagen!AB75,COUNTIFS($C$5:$C$92,C75,$J$5:$J$92,"&lt;"&amp;J75)+1)</f>
        <v>8</v>
      </c>
      <c r="S75" s="23" t="n">
        <f aca="false">1000+200*(R75-1)+1</f>
        <v>2401</v>
      </c>
      <c r="T75" s="23" t="n">
        <f aca="false">1000+200*(R75-1)+Anlagen!F75</f>
        <v>2439</v>
      </c>
      <c r="U75" s="23" t="n">
        <f aca="false">100+A75</f>
        <v>171</v>
      </c>
      <c r="V75" s="23" t="n">
        <f aca="false">200+A75</f>
        <v>271</v>
      </c>
      <c r="W75" s="23" t="n">
        <f aca="false">300+A75</f>
        <v>371</v>
      </c>
      <c r="X75" s="23" t="str">
        <f aca="false">"10."&amp;A75&amp;".1.0/24"</f>
        <v>10.71.1.0/24</v>
      </c>
      <c r="Y75" s="23" t="str">
        <f aca="false">IF(R75&gt;15,"Fehler: VLAN-Block über 15",IF(COUNTIFS($C$5:$C$92,C75,$R$5:$R$92,R75)&gt;1,"Fehler: VLAN-Block am Standort doppelt",IF(COUNTIF($Q$5:$Q$92,Q75)&gt;1,"Fehler: Kürzel doppelt",IF(Anlagen!F75&gt;199,"Fehler: mehr als 199 Parzellen","OK"))))</f>
        <v>OK</v>
      </c>
    </row>
    <row r="76" customFormat="false" ht="15" hidden="false" customHeight="false" outlineLevel="0" collapsed="false">
      <c r="A76" s="23" t="n">
        <f aca="false">Anlagen!A76</f>
        <v>72</v>
      </c>
      <c r="B76" s="23" t="str">
        <f aca="false">Anlagen!B76</f>
        <v>Sommerfreude I</v>
      </c>
      <c r="C76" s="23" t="n">
        <f aca="false">IF(Anlagen!S76&lt;&gt;"",Anlagen!S76,IF(Vorschlag_nutzen=1,Anlagen!Q76,A76))</f>
        <v>17</v>
      </c>
      <c r="D76" s="23" t="n">
        <f aca="false">IF(C76=A76,"",IF(Anlagen!T76&lt;&gt;"",Anlagen!T76,IF(AND(Anlagen!S76="",Vorschlag_nutzen=1,Anlagen!R76&lt;&gt;""),Anlagen!R76,C76)))</f>
        <v>17</v>
      </c>
      <c r="E76" s="23" t="str">
        <f aca="false">IF(C76=A76,IF(COUNTIF($C$5:$C$92,A76)&gt;1,"Gateway-Standort","eigenständig"),"über "&amp;IFERROR(INDEX(Anlagen!$B$5:$B$92,MATCH(D76,Anlagen!$A$5:$A$92,0)),"?"))</f>
        <v>über Birkenwäldchen</v>
      </c>
      <c r="F76" s="36" t="n">
        <f aca="false">IF(C76=A76,0,IF(Anlagen!V76&lt;&gt;"",Anlagen!V76/1000,IFERROR(SQRT((Anlagen!N76-INDEX(Anlagen!$N$5:$N$92,MATCH(D76,Anlagen!$A$5:$A$92,0)))^2+(Anlagen!O76-INDEX(Anlagen!$O$5:$O$92,MATCH(D76,Anlagen!$A$5:$A$92,0)))^2),0)))</f>
        <v>0.187882942280559</v>
      </c>
      <c r="G76" s="37" t="n">
        <f aca="false">IF(C76=A76,0,IF(Anlagen!V76&lt;&gt;"",Anlagen!V76,F76*1000*Umweg))</f>
        <v>244.247824964727</v>
      </c>
      <c r="H76" s="38" t="n">
        <f aca="false">IF(C76=A76,0,(G76*(P_Faser+P_Tiefbau)+2*P_SFP+P_MontZul)*EK)</f>
        <v>666.604367562038</v>
      </c>
      <c r="I76" s="38" t="n">
        <f aca="false">IF(C76=A76,0,(P_Saeule+P_Flex+P_NT+P_Halter+P_Luefter+P_Spleiss+P_Ueber)*EK)</f>
        <v>851.326</v>
      </c>
      <c r="J76" s="23" t="n">
        <f aca="false">IF(Anlagen!U76&lt;&gt;"",Anlagen!U76,IF(C76=A76,500,1000)+ROW())</f>
        <v>1076</v>
      </c>
      <c r="K76" s="37" t="n">
        <f aca="false">SUMIFS(Anlagen!$F$5:$F$92,$C$5:$C$92,C76,$J$5:$J$92,"&lt;"&amp;J76)</f>
        <v>297</v>
      </c>
      <c r="L76" s="23" t="n">
        <f aca="false">INT(K76/PG)+1</f>
        <v>6</v>
      </c>
      <c r="M76" s="23" t="n">
        <f aca="false">MAX(L76,CEILING((K76+Anlagen!F76)/PG,1))</f>
        <v>7</v>
      </c>
      <c r="N76" s="23" t="str">
        <f aca="false">IFERROR(INDEX(Anlagen!$B$5:$B$92,MATCH(C76,Anlagen!$A$5:$A$92,0)),"?")&amp;": GW "&amp;L76&amp;IF(M76&gt;L76,"–"&amp;M76,"")</f>
        <v>Birkenwäldchen: GW 6–7</v>
      </c>
      <c r="O76" s="31" t="n">
        <f aca="false">Buchungsquote!V76</f>
        <v>27.2990712074303</v>
      </c>
      <c r="P76" s="23" t="str">
        <f aca="false">IF(ISNA(MATCH(C76,Anlagen!$A$5:$A$92,0)),"Fehler: Standort unbekannt",IF(C76=A76,"OK",IF(INDEX($C$5:$C$92,MATCH(C76,Anlagen!$A$5:$A$92,0))&lt;&gt;C76,"Fehler: Standort hängt selbst an anderem Standort",IF(D76=A76,"Fehler: Zuleitung von sich selbst",IF(ISNA(MATCH(D76,Anlagen!$A$5:$A$92,0)),"Fehler: Zuleitung unbekannt",IF(INDEX($C$5:$C$92,MATCH(D76,Anlagen!$A$5:$A$92,0))&lt;&gt;C76,"Fehler: Zuleitung hängt an anderem Standort","OK"))))))</f>
        <v>OK</v>
      </c>
      <c r="Q76" s="23" t="str">
        <f aca="false">Anlagen!AA76</f>
        <v>SOMF1</v>
      </c>
      <c r="R76" s="23" t="n">
        <f aca="false">IF(Anlagen!AB76&lt;&gt;"",Anlagen!AB76,COUNTIFS($C$5:$C$92,C76,$J$5:$J$92,"&lt;"&amp;J76)+1)</f>
        <v>7</v>
      </c>
      <c r="S76" s="23" t="n">
        <f aca="false">1000+200*(R76-1)+1</f>
        <v>2201</v>
      </c>
      <c r="T76" s="23" t="n">
        <f aca="false">1000+200*(R76-1)+Anlagen!F76</f>
        <v>2249</v>
      </c>
      <c r="U76" s="23" t="n">
        <f aca="false">100+A76</f>
        <v>172</v>
      </c>
      <c r="V76" s="23" t="n">
        <f aca="false">200+A76</f>
        <v>272</v>
      </c>
      <c r="W76" s="23" t="n">
        <f aca="false">300+A76</f>
        <v>372</v>
      </c>
      <c r="X76" s="23" t="str">
        <f aca="false">"10."&amp;A76&amp;".1.0/24"</f>
        <v>10.72.1.0/24</v>
      </c>
      <c r="Y76" s="23" t="str">
        <f aca="false">IF(R76&gt;15,"Fehler: VLAN-Block über 15",IF(COUNTIFS($C$5:$C$92,C76,$R$5:$R$92,R76)&gt;1,"Fehler: VLAN-Block am Standort doppelt",IF(COUNTIF($Q$5:$Q$92,Q76)&gt;1,"Fehler: Kürzel doppelt",IF(Anlagen!F76&gt;199,"Fehler: mehr als 199 Parzellen","OK"))))</f>
        <v>OK</v>
      </c>
    </row>
    <row r="77" customFormat="false" ht="15" hidden="false" customHeight="false" outlineLevel="0" collapsed="false">
      <c r="A77" s="23" t="n">
        <f aca="false">Anlagen!A77</f>
        <v>73</v>
      </c>
      <c r="B77" s="23" t="str">
        <f aca="false">Anlagen!B77</f>
        <v>Sommerfreude II</v>
      </c>
      <c r="C77" s="23" t="n">
        <f aca="false">IF(Anlagen!S77&lt;&gt;"",Anlagen!S77,IF(Vorschlag_nutzen=1,Anlagen!Q77,A77))</f>
        <v>73</v>
      </c>
      <c r="D77" s="23" t="str">
        <f aca="false">IF(C77=A77,"",IF(Anlagen!T77&lt;&gt;"",Anlagen!T77,IF(AND(Anlagen!S77="",Vorschlag_nutzen=1,Anlagen!R77&lt;&gt;""),Anlagen!R77,C77)))</f>
        <v/>
      </c>
      <c r="E77" s="23" t="str">
        <f aca="false">IF(C77=A77,IF(COUNTIF($C$5:$C$92,A77)&gt;1,"Gateway-Standort","eigenständig"),"über "&amp;IFERROR(INDEX(Anlagen!$B$5:$B$92,MATCH(D77,Anlagen!$A$5:$A$92,0)),"?"))</f>
        <v>Gateway-Standort</v>
      </c>
      <c r="F77" s="36" t="n">
        <f aca="false">IF(C77=A77,0,IF(Anlagen!V77&lt;&gt;"",Anlagen!V77/1000,IFERROR(SQRT((Anlagen!N77-INDEX(Anlagen!$N$5:$N$92,MATCH(D77,Anlagen!$A$5:$A$92,0)))^2+(Anlagen!O77-INDEX(Anlagen!$O$5:$O$92,MATCH(D77,Anlagen!$A$5:$A$92,0)))^2),0)))</f>
        <v>0</v>
      </c>
      <c r="G77" s="37" t="n">
        <f aca="false">IF(C77=A77,0,IF(Anlagen!V77&lt;&gt;"",Anlagen!V77,F77*1000*Umweg))</f>
        <v>0</v>
      </c>
      <c r="H77" s="38" t="n">
        <f aca="false">IF(C77=A77,0,(G77*(P_Faser+P_Tiefbau)+2*P_SFP+P_MontZul)*EK)</f>
        <v>0</v>
      </c>
      <c r="I77" s="38" t="n">
        <f aca="false">IF(C77=A77,0,(P_Saeule+P_Flex+P_NT+P_Halter+P_Luefter+P_Spleiss+P_Ueber)*EK)</f>
        <v>0</v>
      </c>
      <c r="J77" s="23" t="n">
        <f aca="false">IF(Anlagen!U77&lt;&gt;"",Anlagen!U77,IF(C77=A77,500,1000)+ROW())</f>
        <v>577</v>
      </c>
      <c r="K77" s="37" t="n">
        <f aca="false">SUMIFS(Anlagen!$F$5:$F$92,$C$5:$C$92,C77,$J$5:$J$92,"&lt;"&amp;J77)</f>
        <v>0</v>
      </c>
      <c r="L77" s="23" t="n">
        <f aca="false">INT(K77/PG)+1</f>
        <v>1</v>
      </c>
      <c r="M77" s="23" t="n">
        <f aca="false">MAX(L77,CEILING((K77+Anlagen!F77)/PG,1))</f>
        <v>3</v>
      </c>
      <c r="N77" s="23" t="str">
        <f aca="false">IFERROR(INDEX(Anlagen!$B$5:$B$92,MATCH(C77,Anlagen!$A$5:$A$92,0)),"?")&amp;": GW "&amp;L77&amp;IF(M77&gt;L77,"–"&amp;M77,"")</f>
        <v>Sommerfreude II: GW 1–3</v>
      </c>
      <c r="O77" s="31" t="n">
        <f aca="false">Buchungsquote!V77</f>
        <v>73.3367841409692</v>
      </c>
      <c r="P77" s="23" t="str">
        <f aca="false">IF(ISNA(MATCH(C77,Anlagen!$A$5:$A$92,0)),"Fehler: Standort unbekannt",IF(C77=A77,"OK",IF(INDEX($C$5:$C$92,MATCH(C77,Anlagen!$A$5:$A$92,0))&lt;&gt;C77,"Fehler: Standort hängt selbst an anderem Standort",IF(D77=A77,"Fehler: Zuleitung von sich selbst",IF(ISNA(MATCH(D77,Anlagen!$A$5:$A$92,0)),"Fehler: Zuleitung unbekannt",IF(INDEX($C$5:$C$92,MATCH(D77,Anlagen!$A$5:$A$92,0))&lt;&gt;C77,"Fehler: Zuleitung hängt an anderem Standort","OK"))))))</f>
        <v>OK</v>
      </c>
      <c r="Q77" s="23" t="str">
        <f aca="false">Anlagen!AA77</f>
        <v>SOMF2</v>
      </c>
      <c r="R77" s="23" t="n">
        <f aca="false">IF(Anlagen!AB77&lt;&gt;"",Anlagen!AB77,COUNTIFS($C$5:$C$92,C77,$J$5:$J$92,"&lt;"&amp;J77)+1)</f>
        <v>1</v>
      </c>
      <c r="S77" s="23" t="n">
        <f aca="false">1000+200*(R77-1)+1</f>
        <v>1001</v>
      </c>
      <c r="T77" s="23" t="n">
        <f aca="false">1000+200*(R77-1)+Anlagen!F77</f>
        <v>1130</v>
      </c>
      <c r="U77" s="23" t="n">
        <f aca="false">100+A77</f>
        <v>173</v>
      </c>
      <c r="V77" s="23" t="n">
        <f aca="false">200+A77</f>
        <v>273</v>
      </c>
      <c r="W77" s="23" t="n">
        <f aca="false">300+A77</f>
        <v>373</v>
      </c>
      <c r="X77" s="23" t="str">
        <f aca="false">"10."&amp;A77&amp;".1.0/24"</f>
        <v>10.73.1.0/24</v>
      </c>
      <c r="Y77" s="23" t="str">
        <f aca="false">IF(R77&gt;15,"Fehler: VLAN-Block über 15",IF(COUNTIFS($C$5:$C$92,C77,$R$5:$R$92,R77)&gt;1,"Fehler: VLAN-Block am Standort doppelt",IF(COUNTIF($Q$5:$Q$92,Q77)&gt;1,"Fehler: Kürzel doppelt",IF(Anlagen!F77&gt;199,"Fehler: mehr als 199 Parzellen","OK"))))</f>
        <v>OK</v>
      </c>
    </row>
    <row r="78" customFormat="false" ht="15" hidden="false" customHeight="false" outlineLevel="0" collapsed="false">
      <c r="A78" s="23" t="n">
        <f aca="false">Anlagen!A78</f>
        <v>74</v>
      </c>
      <c r="B78" s="23" t="str">
        <f aca="false">Anlagen!B78</f>
        <v>Sonnenrot</v>
      </c>
      <c r="C78" s="23" t="n">
        <f aca="false">IF(Anlagen!S78&lt;&gt;"",Anlagen!S78,IF(Vorschlag_nutzen=1,Anlagen!Q78,A78))</f>
        <v>73</v>
      </c>
      <c r="D78" s="23" t="n">
        <f aca="false">IF(C78=A78,"",IF(Anlagen!T78&lt;&gt;"",Anlagen!T78,IF(AND(Anlagen!S78="",Vorschlag_nutzen=1,Anlagen!R78&lt;&gt;""),Anlagen!R78,C78)))</f>
        <v>40</v>
      </c>
      <c r="E78" s="23" t="str">
        <f aca="false">IF(C78=A78,IF(COUNTIF($C$5:$C$92,A78)&gt;1,"Gateway-Standort","eigenständig"),"über "&amp;IFERROR(INDEX(Anlagen!$B$5:$B$92,MATCH(D78,Anlagen!$A$5:$A$92,0)),"?"))</f>
        <v>über Glück Auf</v>
      </c>
      <c r="F78" s="36" t="n">
        <f aca="false">IF(C78=A78,0,IF(Anlagen!V78&lt;&gt;"",Anlagen!V78/1000,IFERROR(SQRT((Anlagen!N78-INDEX(Anlagen!$N$5:$N$92,MATCH(D78,Anlagen!$A$5:$A$92,0)))^2+(Anlagen!O78-INDEX(Anlagen!$O$5:$O$92,MATCH(D78,Anlagen!$A$5:$A$92,0)))^2),0)))</f>
        <v>0.682422156732912</v>
      </c>
      <c r="G78" s="37" t="n">
        <f aca="false">IF(C78=A78,0,IF(Anlagen!V78&lt;&gt;"",Anlagen!V78,F78*1000*Umweg))</f>
        <v>887.148803752785</v>
      </c>
      <c r="H78" s="38" t="n">
        <f aca="false">IF(C78=A78,0,(G78*(P_Faser+P_Tiefbau)+2*P_SFP+P_MontZul)*EK)</f>
        <v>1814.18261469872</v>
      </c>
      <c r="I78" s="38" t="n">
        <f aca="false">IF(C78=A78,0,(P_Saeule+P_Flex+P_NT+P_Halter+P_Luefter+P_Spleiss+P_Ueber)*EK)</f>
        <v>851.326</v>
      </c>
      <c r="J78" s="23" t="n">
        <f aca="false">IF(Anlagen!U78&lt;&gt;"",Anlagen!U78,IF(C78=A78,500,1000)+ROW())</f>
        <v>1078</v>
      </c>
      <c r="K78" s="37" t="n">
        <f aca="false">SUMIFS(Anlagen!$F$5:$F$92,$C$5:$C$92,C78,$J$5:$J$92,"&lt;"&amp;J78)</f>
        <v>312</v>
      </c>
      <c r="L78" s="23" t="n">
        <f aca="false">INT(K78/PG)+1</f>
        <v>6</v>
      </c>
      <c r="M78" s="23" t="n">
        <f aca="false">MAX(L78,CEILING((K78+Anlagen!F78)/PG,1))</f>
        <v>7</v>
      </c>
      <c r="N78" s="23" t="str">
        <f aca="false">IFERROR(INDEX(Anlagen!$B$5:$B$92,MATCH(C78,Anlagen!$A$5:$A$92,0)),"?")&amp;": GW "&amp;L78&amp;IF(M78&gt;L78,"–"&amp;M78,"")</f>
        <v>Sommerfreude II: GW 6–7</v>
      </c>
      <c r="O78" s="31" t="n">
        <f aca="false">Buchungsquote!V78</f>
        <v>16.9286089238845</v>
      </c>
      <c r="P78" s="23" t="str">
        <f aca="false">IF(ISNA(MATCH(C78,Anlagen!$A$5:$A$92,0)),"Fehler: Standort unbekannt",IF(C78=A78,"OK",IF(INDEX($C$5:$C$92,MATCH(C78,Anlagen!$A$5:$A$92,0))&lt;&gt;C78,"Fehler: Standort hängt selbst an anderem Standort",IF(D78=A78,"Fehler: Zuleitung von sich selbst",IF(ISNA(MATCH(D78,Anlagen!$A$5:$A$92,0)),"Fehler: Zuleitung unbekannt",IF(INDEX($C$5:$C$92,MATCH(D78,Anlagen!$A$5:$A$92,0))&lt;&gt;C78,"Fehler: Zuleitung hängt an anderem Standort","OK"))))))</f>
        <v>OK</v>
      </c>
      <c r="Q78" s="23" t="str">
        <f aca="false">Anlagen!AA78</f>
        <v>SOROT</v>
      </c>
      <c r="R78" s="23" t="n">
        <f aca="false">IF(Anlagen!AB78&lt;&gt;"",Anlagen!AB78,COUNTIFS($C$5:$C$92,C78,$J$5:$J$92,"&lt;"&amp;J78)+1)</f>
        <v>8</v>
      </c>
      <c r="S78" s="23" t="n">
        <f aca="false">1000+200*(R78-1)+1</f>
        <v>2401</v>
      </c>
      <c r="T78" s="23" t="n">
        <f aca="false">1000+200*(R78-1)+Anlagen!F78</f>
        <v>2428</v>
      </c>
      <c r="U78" s="23" t="n">
        <f aca="false">100+A78</f>
        <v>174</v>
      </c>
      <c r="V78" s="23" t="n">
        <f aca="false">200+A78</f>
        <v>274</v>
      </c>
      <c r="W78" s="23" t="n">
        <f aca="false">300+A78</f>
        <v>374</v>
      </c>
      <c r="X78" s="23" t="str">
        <f aca="false">"10."&amp;A78&amp;".1.0/24"</f>
        <v>10.74.1.0/24</v>
      </c>
      <c r="Y78" s="23" t="str">
        <f aca="false">IF(R78&gt;15,"Fehler: VLAN-Block über 15",IF(COUNTIFS($C$5:$C$92,C78,$R$5:$R$92,R78)&gt;1,"Fehler: VLAN-Block am Standort doppelt",IF(COUNTIF($Q$5:$Q$92,Q78)&gt;1,"Fehler: Kürzel doppelt",IF(Anlagen!F78&gt;199,"Fehler: mehr als 199 Parzellen","OK"))))</f>
        <v>OK</v>
      </c>
    </row>
    <row r="79" customFormat="false" ht="15" hidden="false" customHeight="false" outlineLevel="0" collapsed="false">
      <c r="A79" s="23" t="n">
        <f aca="false">Anlagen!A79</f>
        <v>75</v>
      </c>
      <c r="B79" s="23" t="str">
        <f aca="false">Anlagen!B79</f>
        <v>Sonnenschein</v>
      </c>
      <c r="C79" s="23" t="n">
        <f aca="false">IF(Anlagen!S79&lt;&gt;"",Anlagen!S79,IF(Vorschlag_nutzen=1,Anlagen!Q79,A79))</f>
        <v>28</v>
      </c>
      <c r="D79" s="23" t="n">
        <f aca="false">IF(C79=A79,"",IF(Anlagen!T79&lt;&gt;"",Anlagen!T79,IF(AND(Anlagen!S79="",Vorschlag_nutzen=1,Anlagen!R79&lt;&gt;""),Anlagen!R79,C79)))</f>
        <v>82</v>
      </c>
      <c r="E79" s="23" t="str">
        <f aca="false">IF(C79=A79,IF(COUNTIF($C$5:$C$92,A79)&gt;1,"Gateway-Standort","eigenständig"),"über "&amp;IFERROR(INDEX(Anlagen!$B$5:$B$92,MATCH(D79,Anlagen!$A$5:$A$92,0)),"?"))</f>
        <v>über Waldfrieden</v>
      </c>
      <c r="F79" s="36" t="n">
        <f aca="false">IF(C79=A79,0,IF(Anlagen!V79&lt;&gt;"",Anlagen!V79/1000,IFERROR(SQRT((Anlagen!N79-INDEX(Anlagen!$N$5:$N$92,MATCH(D79,Anlagen!$A$5:$A$92,0)))^2+(Anlagen!O79-INDEX(Anlagen!$O$5:$O$92,MATCH(D79,Anlagen!$A$5:$A$92,0)))^2),0)))</f>
        <v>0.308058436014987</v>
      </c>
      <c r="G79" s="37" t="n">
        <f aca="false">IF(C79=A79,0,IF(Anlagen!V79&lt;&gt;"",Anlagen!V79,F79*1000*Umweg))</f>
        <v>400.475966819483</v>
      </c>
      <c r="H79" s="38" t="n">
        <f aca="false">IF(C79=A79,0,(G79*(P_Faser+P_Tiefbau)+2*P_SFP+P_MontZul)*EK)</f>
        <v>945.471600772778</v>
      </c>
      <c r="I79" s="38" t="n">
        <f aca="false">IF(C79=A79,0,(P_Saeule+P_Flex+P_NT+P_Halter+P_Luefter+P_Spleiss+P_Ueber)*EK)</f>
        <v>851.326</v>
      </c>
      <c r="J79" s="23" t="n">
        <f aca="false">IF(Anlagen!U79&lt;&gt;"",Anlagen!U79,IF(C79=A79,500,1000)+ROW())</f>
        <v>1079</v>
      </c>
      <c r="K79" s="37" t="n">
        <f aca="false">SUMIFS(Anlagen!$F$5:$F$92,$C$5:$C$92,C79,$J$5:$J$92,"&lt;"&amp;J79)</f>
        <v>317</v>
      </c>
      <c r="L79" s="23" t="n">
        <f aca="false">INT(K79/PG)+1</f>
        <v>6</v>
      </c>
      <c r="M79" s="23" t="n">
        <f aca="false">MAX(L79,CEILING((K79+Anlagen!F79)/PG,1))</f>
        <v>7</v>
      </c>
      <c r="N79" s="23" t="str">
        <f aca="false">IFERROR(INDEX(Anlagen!$B$5:$B$92,MATCH(C79,Anlagen!$A$5:$A$92,0)),"?")&amp;": GW "&amp;L79&amp;IF(M79&gt;L79,"–"&amp;M79,"")</f>
        <v>Erdenglück: GW 6–7</v>
      </c>
      <c r="O79" s="31" t="n">
        <f aca="false">Buchungsquote!V79</f>
        <v>25.0244165170557</v>
      </c>
      <c r="P79" s="23" t="str">
        <f aca="false">IF(ISNA(MATCH(C79,Anlagen!$A$5:$A$92,0)),"Fehler: Standort unbekannt",IF(C79=A79,"OK",IF(INDEX($C$5:$C$92,MATCH(C79,Anlagen!$A$5:$A$92,0))&lt;&gt;C79,"Fehler: Standort hängt selbst an anderem Standort",IF(D79=A79,"Fehler: Zuleitung von sich selbst",IF(ISNA(MATCH(D79,Anlagen!$A$5:$A$92,0)),"Fehler: Zuleitung unbekannt",IF(INDEX($C$5:$C$92,MATCH(D79,Anlagen!$A$5:$A$92,0))&lt;&gt;C79,"Fehler: Zuleitung hängt an anderem Standort","OK"))))))</f>
        <v>OK</v>
      </c>
      <c r="Q79" s="23" t="str">
        <f aca="false">Anlagen!AA79</f>
        <v>SOSCH</v>
      </c>
      <c r="R79" s="23" t="n">
        <f aca="false">IF(Anlagen!AB79&lt;&gt;"",Anlagen!AB79,COUNTIFS($C$5:$C$92,C79,$J$5:$J$92,"&lt;"&amp;J79)+1)</f>
        <v>7</v>
      </c>
      <c r="S79" s="23" t="n">
        <f aca="false">1000+200*(R79-1)+1</f>
        <v>2201</v>
      </c>
      <c r="T79" s="23" t="n">
        <f aca="false">1000+200*(R79-1)+Anlagen!F79</f>
        <v>2240</v>
      </c>
      <c r="U79" s="23" t="n">
        <f aca="false">100+A79</f>
        <v>175</v>
      </c>
      <c r="V79" s="23" t="n">
        <f aca="false">200+A79</f>
        <v>275</v>
      </c>
      <c r="W79" s="23" t="n">
        <f aca="false">300+A79</f>
        <v>375</v>
      </c>
      <c r="X79" s="23" t="str">
        <f aca="false">"10."&amp;A79&amp;".1.0/24"</f>
        <v>10.75.1.0/24</v>
      </c>
      <c r="Y79" s="23" t="str">
        <f aca="false">IF(R79&gt;15,"Fehler: VLAN-Block über 15",IF(COUNTIFS($C$5:$C$92,C79,$R$5:$R$92,R79)&gt;1,"Fehler: VLAN-Block am Standort doppelt",IF(COUNTIF($Q$5:$Q$92,Q79)&gt;1,"Fehler: Kürzel doppelt",IF(Anlagen!F79&gt;199,"Fehler: mehr als 199 Parzellen","OK"))))</f>
        <v>OK</v>
      </c>
    </row>
    <row r="80" customFormat="false" ht="15" hidden="false" customHeight="false" outlineLevel="0" collapsed="false">
      <c r="A80" s="23" t="n">
        <f aca="false">Anlagen!A80</f>
        <v>76</v>
      </c>
      <c r="B80" s="23" t="str">
        <f aca="false">Anlagen!B80</f>
        <v>Sonnenwinkel</v>
      </c>
      <c r="C80" s="23" t="n">
        <f aca="false">IF(Anlagen!S80&lt;&gt;"",Anlagen!S80,IF(Vorschlag_nutzen=1,Anlagen!Q80,A80))</f>
        <v>17</v>
      </c>
      <c r="D80" s="23" t="n">
        <f aca="false">IF(C80=A80,"",IF(Anlagen!T80&lt;&gt;"",Anlagen!T80,IF(AND(Anlagen!S80="",Vorschlag_nutzen=1,Anlagen!R80&lt;&gt;""),Anlagen!R80,C80)))</f>
        <v>72</v>
      </c>
      <c r="E80" s="23" t="str">
        <f aca="false">IF(C80=A80,IF(COUNTIF($C$5:$C$92,A80)&gt;1,"Gateway-Standort","eigenständig"),"über "&amp;IFERROR(INDEX(Anlagen!$B$5:$B$92,MATCH(D80,Anlagen!$A$5:$A$92,0)),"?"))</f>
        <v>über Sommerfreude I</v>
      </c>
      <c r="F80" s="36" t="n">
        <f aca="false">IF(C80=A80,0,IF(Anlagen!V80&lt;&gt;"",Anlagen!V80/1000,IFERROR(SQRT((Anlagen!N80-INDEX(Anlagen!$N$5:$N$92,MATCH(D80,Anlagen!$A$5:$A$92,0)))^2+(Anlagen!O80-INDEX(Anlagen!$O$5:$O$92,MATCH(D80,Anlagen!$A$5:$A$92,0)))^2),0)))</f>
        <v>0.248394846967484</v>
      </c>
      <c r="G80" s="37" t="n">
        <f aca="false">IF(C80=A80,0,IF(Anlagen!V80&lt;&gt;"",Anlagen!V80,F80*1000*Umweg))</f>
        <v>322.91330105773</v>
      </c>
      <c r="H80" s="38" t="n">
        <f aca="false">IF(C80=A80,0,(G80*(P_Faser+P_Tiefbau)+2*P_SFP+P_MontZul)*EK)</f>
        <v>807.022242388048</v>
      </c>
      <c r="I80" s="38" t="n">
        <f aca="false">IF(C80=A80,0,(P_Saeule+P_Flex+P_NT+P_Halter+P_Luefter+P_Spleiss+P_Ueber)*EK)</f>
        <v>851.326</v>
      </c>
      <c r="J80" s="23" t="n">
        <f aca="false">IF(Anlagen!U80&lt;&gt;"",Anlagen!U80,IF(C80=A80,500,1000)+ROW())</f>
        <v>1080</v>
      </c>
      <c r="K80" s="37" t="n">
        <f aca="false">SUMIFS(Anlagen!$F$5:$F$92,$C$5:$C$92,C80,$J$5:$J$92,"&lt;"&amp;J80)</f>
        <v>346</v>
      </c>
      <c r="L80" s="23" t="n">
        <f aca="false">INT(K80/PG)+1</f>
        <v>7</v>
      </c>
      <c r="M80" s="23" t="n">
        <f aca="false">MAX(L80,CEILING((K80+Anlagen!F80)/PG,1))</f>
        <v>8</v>
      </c>
      <c r="N80" s="23" t="str">
        <f aca="false">IFERROR(INDEX(Anlagen!$B$5:$B$92,MATCH(C80,Anlagen!$A$5:$A$92,0)),"?")&amp;": GW "&amp;L80&amp;IF(M80&gt;L80,"–"&amp;M80,"")</f>
        <v>Birkenwäldchen: GW 7–8</v>
      </c>
      <c r="O80" s="31" t="n">
        <f aca="false">Buchungsquote!V80</f>
        <v>28.9840255591054</v>
      </c>
      <c r="P80" s="23" t="str">
        <f aca="false">IF(ISNA(MATCH(C80,Anlagen!$A$5:$A$92,0)),"Fehler: Standort unbekannt",IF(C80=A80,"OK",IF(INDEX($C$5:$C$92,MATCH(C80,Anlagen!$A$5:$A$92,0))&lt;&gt;C80,"Fehler: Standort hängt selbst an anderem Standort",IF(D80=A80,"Fehler: Zuleitung von sich selbst",IF(ISNA(MATCH(D80,Anlagen!$A$5:$A$92,0)),"Fehler: Zuleitung unbekannt",IF(INDEX($C$5:$C$92,MATCH(D80,Anlagen!$A$5:$A$92,0))&lt;&gt;C80,"Fehler: Zuleitung hängt an anderem Standort","OK"))))))</f>
        <v>OK</v>
      </c>
      <c r="Q80" s="23" t="str">
        <f aca="false">Anlagen!AA80</f>
        <v>SOWIN</v>
      </c>
      <c r="R80" s="23" t="n">
        <f aca="false">IF(Anlagen!AB80&lt;&gt;"",Anlagen!AB80,COUNTIFS($C$5:$C$92,C80,$J$5:$J$92,"&lt;"&amp;J80)+1)</f>
        <v>8</v>
      </c>
      <c r="S80" s="23" t="n">
        <f aca="false">1000+200*(R80-1)+1</f>
        <v>2401</v>
      </c>
      <c r="T80" s="23" t="n">
        <f aca="false">1000+200*(R80-1)+Anlagen!F80</f>
        <v>2448</v>
      </c>
      <c r="U80" s="23" t="n">
        <f aca="false">100+A80</f>
        <v>176</v>
      </c>
      <c r="V80" s="23" t="n">
        <f aca="false">200+A80</f>
        <v>276</v>
      </c>
      <c r="W80" s="23" t="n">
        <f aca="false">300+A80</f>
        <v>376</v>
      </c>
      <c r="X80" s="23" t="str">
        <f aca="false">"10."&amp;A80&amp;".1.0/24"</f>
        <v>10.76.1.0/24</v>
      </c>
      <c r="Y80" s="23" t="str">
        <f aca="false">IF(R80&gt;15,"Fehler: VLAN-Block über 15",IF(COUNTIFS($C$5:$C$92,C80,$R$5:$R$92,R80)&gt;1,"Fehler: VLAN-Block am Standort doppelt",IF(COUNTIF($Q$5:$Q$92,Q80)&gt;1,"Fehler: Kürzel doppelt",IF(Anlagen!F80&gt;199,"Fehler: mehr als 199 Parzellen","OK"))))</f>
        <v>OK</v>
      </c>
    </row>
    <row r="81" customFormat="false" ht="15" hidden="false" customHeight="false" outlineLevel="0" collapsed="false">
      <c r="A81" s="23" t="n">
        <f aca="false">Anlagen!A81</f>
        <v>77</v>
      </c>
      <c r="B81" s="23" t="str">
        <f aca="false">Anlagen!B81</f>
        <v>Sorgenfrei I</v>
      </c>
      <c r="C81" s="23" t="n">
        <f aca="false">IF(Anlagen!S81&lt;&gt;"",Anlagen!S81,IF(Vorschlag_nutzen=1,Anlagen!Q81,A81))</f>
        <v>17</v>
      </c>
      <c r="D81" s="23" t="n">
        <f aca="false">IF(C81=A81,"",IF(Anlagen!T81&lt;&gt;"",Anlagen!T81,IF(AND(Anlagen!S81="",Vorschlag_nutzen=1,Anlagen!R81&lt;&gt;""),Anlagen!R81,C81)))</f>
        <v>38</v>
      </c>
      <c r="E81" s="23" t="str">
        <f aca="false">IF(C81=A81,IF(COUNTIF($C$5:$C$92,A81)&gt;1,"Gateway-Standort","eigenständig"),"über "&amp;IFERROR(INDEX(Anlagen!$B$5:$B$92,MATCH(D81,Anlagen!$A$5:$A$92,0)),"?"))</f>
        <v>über Frohsinn</v>
      </c>
      <c r="F81" s="36" t="n">
        <f aca="false">IF(C81=A81,0,IF(Anlagen!V81&lt;&gt;"",Anlagen!V81/1000,IFERROR(SQRT((Anlagen!N81-INDEX(Anlagen!$N$5:$N$92,MATCH(D81,Anlagen!$A$5:$A$92,0)))^2+(Anlagen!O81-INDEX(Anlagen!$O$5:$O$92,MATCH(D81,Anlagen!$A$5:$A$92,0)))^2),0)))</f>
        <v>0.336154726279433</v>
      </c>
      <c r="G81" s="37" t="n">
        <f aca="false">IF(C81=A81,0,IF(Anlagen!V81&lt;&gt;"",Anlagen!V81,F81*1000*Umweg))</f>
        <v>437.001144163263</v>
      </c>
      <c r="H81" s="38" t="n">
        <f aca="false">IF(C81=A81,0,(G81*(P_Faser+P_Tiefbau)+2*P_SFP+P_MontZul)*EK)</f>
        <v>1010.66904233142</v>
      </c>
      <c r="I81" s="38" t="n">
        <f aca="false">IF(C81=A81,0,(P_Saeule+P_Flex+P_NT+P_Halter+P_Luefter+P_Spleiss+P_Ueber)*EK)</f>
        <v>851.326</v>
      </c>
      <c r="J81" s="23" t="n">
        <f aca="false">IF(Anlagen!U81&lt;&gt;"",Anlagen!U81,IF(C81=A81,500,1000)+ROW())</f>
        <v>1081</v>
      </c>
      <c r="K81" s="37" t="n">
        <f aca="false">SUMIFS(Anlagen!$F$5:$F$92,$C$5:$C$92,C81,$J$5:$J$92,"&lt;"&amp;J81)</f>
        <v>394</v>
      </c>
      <c r="L81" s="23" t="n">
        <f aca="false">INT(K81/PG)+1</f>
        <v>8</v>
      </c>
      <c r="M81" s="23" t="n">
        <f aca="false">MAX(L81,CEILING((K81+Anlagen!F81)/PG,1))</f>
        <v>8</v>
      </c>
      <c r="N81" s="23" t="str">
        <f aca="false">IFERROR(INDEX(Anlagen!$B$5:$B$92,MATCH(C81,Anlagen!$A$5:$A$92,0)),"?")&amp;": GW "&amp;L81&amp;IF(M81&gt;L81,"–"&amp;M81,"")</f>
        <v>Birkenwäldchen: GW 8</v>
      </c>
      <c r="O81" s="31" t="n">
        <f aca="false">Buchungsquote!V81</f>
        <v>27.1956932773109</v>
      </c>
      <c r="P81" s="23" t="str">
        <f aca="false">IF(ISNA(MATCH(C81,Anlagen!$A$5:$A$92,0)),"Fehler: Standort unbekannt",IF(C81=A81,"OK",IF(INDEX($C$5:$C$92,MATCH(C81,Anlagen!$A$5:$A$92,0))&lt;&gt;C81,"Fehler: Standort hängt selbst an anderem Standort",IF(D81=A81,"Fehler: Zuleitung von sich selbst",IF(ISNA(MATCH(D81,Anlagen!$A$5:$A$92,0)),"Fehler: Zuleitung unbekannt",IF(INDEX($C$5:$C$92,MATCH(D81,Anlagen!$A$5:$A$92,0))&lt;&gt;C81,"Fehler: Zuleitung hängt an anderem Standort","OK"))))))</f>
        <v>OK</v>
      </c>
      <c r="Q81" s="23" t="str">
        <f aca="false">Anlagen!AA81</f>
        <v>SORG1</v>
      </c>
      <c r="R81" s="23" t="n">
        <f aca="false">IF(Anlagen!AB81&lt;&gt;"",Anlagen!AB81,COUNTIFS($C$5:$C$92,C81,$J$5:$J$92,"&lt;"&amp;J81)+1)</f>
        <v>9</v>
      </c>
      <c r="S81" s="23" t="n">
        <f aca="false">1000+200*(R81-1)+1</f>
        <v>2601</v>
      </c>
      <c r="T81" s="23" t="n">
        <f aca="false">1000+200*(R81-1)+Anlagen!F81</f>
        <v>2645</v>
      </c>
      <c r="U81" s="23" t="n">
        <f aca="false">100+A81</f>
        <v>177</v>
      </c>
      <c r="V81" s="23" t="n">
        <f aca="false">200+A81</f>
        <v>277</v>
      </c>
      <c r="W81" s="23" t="n">
        <f aca="false">300+A81</f>
        <v>377</v>
      </c>
      <c r="X81" s="23" t="str">
        <f aca="false">"10."&amp;A81&amp;".1.0/24"</f>
        <v>10.77.1.0/24</v>
      </c>
      <c r="Y81" s="23" t="str">
        <f aca="false">IF(R81&gt;15,"Fehler: VLAN-Block über 15",IF(COUNTIFS($C$5:$C$92,C81,$R$5:$R$92,R81)&gt;1,"Fehler: VLAN-Block am Standort doppelt",IF(COUNTIF($Q$5:$Q$92,Q81)&gt;1,"Fehler: Kürzel doppelt",IF(Anlagen!F81&gt;199,"Fehler: mehr als 199 Parzellen","OK"))))</f>
        <v>OK</v>
      </c>
    </row>
    <row r="82" customFormat="false" ht="15" hidden="false" customHeight="false" outlineLevel="0" collapsed="false">
      <c r="A82" s="23" t="n">
        <f aca="false">Anlagen!A82</f>
        <v>78</v>
      </c>
      <c r="B82" s="23" t="str">
        <f aca="false">Anlagen!B82</f>
        <v>Sorgenfrei II</v>
      </c>
      <c r="C82" s="23" t="n">
        <f aca="false">IF(Anlagen!S82&lt;&gt;"",Anlagen!S82,IF(Vorschlag_nutzen=1,Anlagen!Q82,A82))</f>
        <v>73</v>
      </c>
      <c r="D82" s="23" t="n">
        <f aca="false">IF(C82=A82,"",IF(Anlagen!T82&lt;&gt;"",Anlagen!T82,IF(AND(Anlagen!S82="",Vorschlag_nutzen=1,Anlagen!R82&lt;&gt;""),Anlagen!R82,C82)))</f>
        <v>63</v>
      </c>
      <c r="E82" s="23" t="str">
        <f aca="false">IF(C82=A82,IF(COUNTIF($C$5:$C$92,A82)&gt;1,"Gateway-Standort","eigenständig"),"über "&amp;IFERROR(INDEX(Anlagen!$B$5:$B$92,MATCH(D82,Anlagen!$A$5:$A$92,0)),"?"))</f>
        <v>über Morgenrot</v>
      </c>
      <c r="F82" s="36" t="n">
        <f aca="false">IF(C82=A82,0,IF(Anlagen!V82&lt;&gt;"",Anlagen!V82/1000,IFERROR(SQRT((Anlagen!N82-INDEX(Anlagen!$N$5:$N$92,MATCH(D82,Anlagen!$A$5:$A$92,0)))^2+(Anlagen!O82-INDEX(Anlagen!$O$5:$O$92,MATCH(D82,Anlagen!$A$5:$A$92,0)))^2),0)))</f>
        <v>0.320156211871643</v>
      </c>
      <c r="G82" s="37" t="n">
        <f aca="false">IF(C82=A82,0,IF(Anlagen!V82&lt;&gt;"",Anlagen!V82,F82*1000*Umweg))</f>
        <v>416.203075433135</v>
      </c>
      <c r="H82" s="38" t="n">
        <f aca="false">IF(C82=A82,0,(G82*(P_Faser+P_Tiefbau)+2*P_SFP+P_MontZul)*EK)</f>
        <v>973.544489648146</v>
      </c>
      <c r="I82" s="38" t="n">
        <f aca="false">IF(C82=A82,0,(P_Saeule+P_Flex+P_NT+P_Halter+P_Luefter+P_Spleiss+P_Ueber)*EK)</f>
        <v>851.326</v>
      </c>
      <c r="J82" s="23" t="n">
        <f aca="false">IF(Anlagen!U82&lt;&gt;"",Anlagen!U82,IF(C82=A82,500,1000)+ROW())</f>
        <v>1082</v>
      </c>
      <c r="K82" s="37" t="n">
        <f aca="false">SUMIFS(Anlagen!$F$5:$F$92,$C$5:$C$92,C82,$J$5:$J$92,"&lt;"&amp;J82)</f>
        <v>340</v>
      </c>
      <c r="L82" s="23" t="n">
        <f aca="false">INT(K82/PG)+1</f>
        <v>7</v>
      </c>
      <c r="M82" s="23" t="n">
        <f aca="false">MAX(L82,CEILING((K82+Anlagen!F82)/PG,1))</f>
        <v>7</v>
      </c>
      <c r="N82" s="23" t="str">
        <f aca="false">IFERROR(INDEX(Anlagen!$B$5:$B$92,MATCH(C82,Anlagen!$A$5:$A$92,0)),"?")&amp;": GW "&amp;L82&amp;IF(M82&gt;L82,"–"&amp;M82,"")</f>
        <v>Sommerfreude II: GW 7</v>
      </c>
      <c r="O82" s="31" t="n">
        <f aca="false">Buchungsquote!V82</f>
        <v>12.9872093023256</v>
      </c>
      <c r="P82" s="23" t="str">
        <f aca="false">IF(ISNA(MATCH(C82,Anlagen!$A$5:$A$92,0)),"Fehler: Standort unbekannt",IF(C82=A82,"OK",IF(INDEX($C$5:$C$92,MATCH(C82,Anlagen!$A$5:$A$92,0))&lt;&gt;C82,"Fehler: Standort hängt selbst an anderem Standort",IF(D82=A82,"Fehler: Zuleitung von sich selbst",IF(ISNA(MATCH(D82,Anlagen!$A$5:$A$92,0)),"Fehler: Zuleitung unbekannt",IF(INDEX($C$5:$C$92,MATCH(D82,Anlagen!$A$5:$A$92,0))&lt;&gt;C82,"Fehler: Zuleitung hängt an anderem Standort","OK"))))))</f>
        <v>OK</v>
      </c>
      <c r="Q82" s="23" t="str">
        <f aca="false">Anlagen!AA82</f>
        <v>SORG2</v>
      </c>
      <c r="R82" s="23" t="n">
        <f aca="false">IF(Anlagen!AB82&lt;&gt;"",Anlagen!AB82,COUNTIFS($C$5:$C$92,C82,$J$5:$J$92,"&lt;"&amp;J82)+1)</f>
        <v>9</v>
      </c>
      <c r="S82" s="23" t="n">
        <f aca="false">1000+200*(R82-1)+1</f>
        <v>2601</v>
      </c>
      <c r="T82" s="23" t="n">
        <f aca="false">1000+200*(R82-1)+Anlagen!F82</f>
        <v>2623</v>
      </c>
      <c r="U82" s="23" t="n">
        <f aca="false">100+A82</f>
        <v>178</v>
      </c>
      <c r="V82" s="23" t="n">
        <f aca="false">200+A82</f>
        <v>278</v>
      </c>
      <c r="W82" s="23" t="n">
        <f aca="false">300+A82</f>
        <v>378</v>
      </c>
      <c r="X82" s="23" t="str">
        <f aca="false">"10."&amp;A82&amp;".1.0/24"</f>
        <v>10.78.1.0/24</v>
      </c>
      <c r="Y82" s="23" t="str">
        <f aca="false">IF(R82&gt;15,"Fehler: VLAN-Block über 15",IF(COUNTIFS($C$5:$C$92,C82,$R$5:$R$92,R82)&gt;1,"Fehler: VLAN-Block am Standort doppelt",IF(COUNTIF($Q$5:$Q$92,Q82)&gt;1,"Fehler: Kürzel doppelt",IF(Anlagen!F82&gt;199,"Fehler: mehr als 199 Parzellen","OK"))))</f>
        <v>OK</v>
      </c>
    </row>
    <row r="83" customFormat="false" ht="15" hidden="false" customHeight="false" outlineLevel="0" collapsed="false">
      <c r="A83" s="23" t="n">
        <f aca="false">Anlagen!A83</f>
        <v>79</v>
      </c>
      <c r="B83" s="23" t="str">
        <f aca="false">Anlagen!B83</f>
        <v>Sportpark</v>
      </c>
      <c r="C83" s="23" t="n">
        <f aca="false">IF(Anlagen!S83&lt;&gt;"",Anlagen!S83,IF(Vorschlag_nutzen=1,Anlagen!Q83,A83))</f>
        <v>23</v>
      </c>
      <c r="D83" s="23" t="n">
        <f aca="false">IF(C83=A83,"",IF(Anlagen!T83&lt;&gt;"",Anlagen!T83,IF(AND(Anlagen!S83="",Vorschlag_nutzen=1,Anlagen!R83&lt;&gt;""),Anlagen!R83,C83)))</f>
        <v>71</v>
      </c>
      <c r="E83" s="23" t="str">
        <f aca="false">IF(C83=A83,IF(COUNTIF($C$5:$C$92,A83)&gt;1,"Gateway-Standort","eigenständig"),"über "&amp;IFERROR(INDEX(Anlagen!$B$5:$B$92,MATCH(D83,Anlagen!$A$5:$A$92,0)),"?"))</f>
        <v>über Sanssouci</v>
      </c>
      <c r="F83" s="36" t="n">
        <f aca="false">IF(C83=A83,0,IF(Anlagen!V83&lt;&gt;"",Anlagen!V83/1000,IFERROR(SQRT((Anlagen!N83-INDEX(Anlagen!$N$5:$N$92,MATCH(D83,Anlagen!$A$5:$A$92,0)))^2+(Anlagen!O83-INDEX(Anlagen!$O$5:$O$92,MATCH(D83,Anlagen!$A$5:$A$92,0)))^2),0)))</f>
        <v>0.560892146495207</v>
      </c>
      <c r="G83" s="37" t="n">
        <f aca="false">IF(C83=A83,0,IF(Anlagen!V83&lt;&gt;"",Anlagen!V83,F83*1000*Umweg))</f>
        <v>729.159790443769</v>
      </c>
      <c r="H83" s="38" t="n">
        <f aca="false">IF(C83=A83,0,(G83*(P_Faser+P_Tiefbau)+2*P_SFP+P_MontZul)*EK)</f>
        <v>1532.17222594213</v>
      </c>
      <c r="I83" s="38" t="n">
        <f aca="false">IF(C83=A83,0,(P_Saeule+P_Flex+P_NT+P_Halter+P_Luefter+P_Spleiss+P_Ueber)*EK)</f>
        <v>851.326</v>
      </c>
      <c r="J83" s="23" t="n">
        <f aca="false">IF(Anlagen!U83&lt;&gt;"",Anlagen!U83,IF(C83=A83,500,1000)+ROW())</f>
        <v>1083</v>
      </c>
      <c r="K83" s="37" t="n">
        <f aca="false">SUMIFS(Anlagen!$F$5:$F$92,$C$5:$C$92,C83,$J$5:$J$92,"&lt;"&amp;J83)</f>
        <v>509</v>
      </c>
      <c r="L83" s="23" t="n">
        <f aca="false">INT(K83/PG)+1</f>
        <v>10</v>
      </c>
      <c r="M83" s="23" t="n">
        <f aca="false">MAX(L83,CEILING((K83+Anlagen!F83)/PG,1))</f>
        <v>10</v>
      </c>
      <c r="N83" s="23" t="str">
        <f aca="false">IFERROR(INDEX(Anlagen!$B$5:$B$92,MATCH(C83,Anlagen!$A$5:$A$92,0)),"?")&amp;": GW "&amp;L83&amp;IF(M83&gt;L83,"–"&amp;M83,"")</f>
        <v>Eigener Fleiß: GW 10</v>
      </c>
      <c r="O83" s="31" t="n">
        <f aca="false">Buchungsquote!V83</f>
        <v>17.4441067761807</v>
      </c>
      <c r="P83" s="23" t="str">
        <f aca="false">IF(ISNA(MATCH(C83,Anlagen!$A$5:$A$92,0)),"Fehler: Standort unbekannt",IF(C83=A83,"OK",IF(INDEX($C$5:$C$92,MATCH(C83,Anlagen!$A$5:$A$92,0))&lt;&gt;C83,"Fehler: Standort hängt selbst an anderem Standort",IF(D83=A83,"Fehler: Zuleitung von sich selbst",IF(ISNA(MATCH(D83,Anlagen!$A$5:$A$92,0)),"Fehler: Zuleitung unbekannt",IF(INDEX($C$5:$C$92,MATCH(D83,Anlagen!$A$5:$A$92,0))&lt;&gt;C83,"Fehler: Zuleitung hängt an anderem Standort","OK"))))))</f>
        <v>OK</v>
      </c>
      <c r="Q83" s="23" t="str">
        <f aca="false">Anlagen!AA83</f>
        <v>SPORT</v>
      </c>
      <c r="R83" s="23" t="n">
        <f aca="false">IF(Anlagen!AB83&lt;&gt;"",Anlagen!AB83,COUNTIFS($C$5:$C$92,C83,$J$5:$J$92,"&lt;"&amp;J83)+1)</f>
        <v>9</v>
      </c>
      <c r="S83" s="23" t="n">
        <f aca="false">1000+200*(R83-1)+1</f>
        <v>2601</v>
      </c>
      <c r="T83" s="23" t="n">
        <f aca="false">1000+200*(R83-1)+Anlagen!F83</f>
        <v>2637</v>
      </c>
      <c r="U83" s="23" t="n">
        <f aca="false">100+A83</f>
        <v>179</v>
      </c>
      <c r="V83" s="23" t="n">
        <f aca="false">200+A83</f>
        <v>279</v>
      </c>
      <c r="W83" s="23" t="n">
        <f aca="false">300+A83</f>
        <v>379</v>
      </c>
      <c r="X83" s="23" t="str">
        <f aca="false">"10."&amp;A83&amp;".1.0/24"</f>
        <v>10.79.1.0/24</v>
      </c>
      <c r="Y83" s="23" t="str">
        <f aca="false">IF(R83&gt;15,"Fehler: VLAN-Block über 15",IF(COUNTIFS($C$5:$C$92,C83,$R$5:$R$92,R83)&gt;1,"Fehler: VLAN-Block am Standort doppelt",IF(COUNTIF($Q$5:$Q$92,Q83)&gt;1,"Fehler: Kürzel doppelt",IF(Anlagen!F83&gt;199,"Fehler: mehr als 199 Parzellen","OK"))))</f>
        <v>OK</v>
      </c>
    </row>
    <row r="84" customFormat="false" ht="15" hidden="false" customHeight="false" outlineLevel="0" collapsed="false">
      <c r="A84" s="23" t="n">
        <f aca="false">Anlagen!A84</f>
        <v>80</v>
      </c>
      <c r="B84" s="23" t="str">
        <f aca="false">Anlagen!B84</f>
        <v>Stiller Winkel</v>
      </c>
      <c r="C84" s="23" t="n">
        <f aca="false">IF(Anlagen!S84&lt;&gt;"",Anlagen!S84,IF(Vorschlag_nutzen=1,Anlagen!Q84,A84))</f>
        <v>17</v>
      </c>
      <c r="D84" s="23" t="n">
        <f aca="false">IF(C84=A84,"",IF(Anlagen!T84&lt;&gt;"",Anlagen!T84,IF(AND(Anlagen!S84="",Vorschlag_nutzen=1,Anlagen!R84&lt;&gt;""),Anlagen!R84,C84)))</f>
        <v>38</v>
      </c>
      <c r="E84" s="23" t="str">
        <f aca="false">IF(C84=A84,IF(COUNTIF($C$5:$C$92,A84)&gt;1,"Gateway-Standort","eigenständig"),"über "&amp;IFERROR(INDEX(Anlagen!$B$5:$B$92,MATCH(D84,Anlagen!$A$5:$A$92,0)),"?"))</f>
        <v>über Frohsinn</v>
      </c>
      <c r="F84" s="36" t="n">
        <f aca="false">IF(C84=A84,0,IF(Anlagen!V84&lt;&gt;"",Anlagen!V84/1000,IFERROR(SQRT((Anlagen!N84-INDEX(Anlagen!$N$5:$N$92,MATCH(D84,Anlagen!$A$5:$A$92,0)))^2+(Anlagen!O84-INDEX(Anlagen!$O$5:$O$92,MATCH(D84,Anlagen!$A$5:$A$92,0)))^2),0)))</f>
        <v>0.247386337537059</v>
      </c>
      <c r="G84" s="37" t="n">
        <f aca="false">IF(C84=A84,0,IF(Anlagen!V84&lt;&gt;"",Anlagen!V84,F84*1000*Umweg))</f>
        <v>321.602238798177</v>
      </c>
      <c r="H84" s="38" t="n">
        <f aca="false">IF(C84=A84,0,(G84*(P_Faser+P_Tiefbau)+2*P_SFP+P_MontZul)*EK)</f>
        <v>804.681996254746</v>
      </c>
      <c r="I84" s="38" t="n">
        <f aca="false">IF(C84=A84,0,(P_Saeule+P_Flex+P_NT+P_Halter+P_Luefter+P_Spleiss+P_Ueber)*EK)</f>
        <v>851.326</v>
      </c>
      <c r="J84" s="23" t="n">
        <f aca="false">IF(Anlagen!U84&lt;&gt;"",Anlagen!U84,IF(C84=A84,500,1000)+ROW())</f>
        <v>1084</v>
      </c>
      <c r="K84" s="37" t="n">
        <f aca="false">SUMIFS(Anlagen!$F$5:$F$92,$C$5:$C$92,C84,$J$5:$J$92,"&lt;"&amp;J84)</f>
        <v>439</v>
      </c>
      <c r="L84" s="23" t="n">
        <f aca="false">INT(K84/PG)+1</f>
        <v>8</v>
      </c>
      <c r="M84" s="23" t="n">
        <f aca="false">MAX(L84,CEILING((K84+Anlagen!F84)/PG,1))</f>
        <v>9</v>
      </c>
      <c r="N84" s="23" t="str">
        <f aca="false">IFERROR(INDEX(Anlagen!$B$5:$B$92,MATCH(C84,Anlagen!$A$5:$A$92,0)),"?")&amp;": GW "&amp;L84&amp;IF(M84&gt;L84,"–"&amp;M84,"")</f>
        <v>Birkenwäldchen: GW 8–9</v>
      </c>
      <c r="O84" s="31" t="n">
        <f aca="false">Buchungsquote!V84</f>
        <v>27.6419047619048</v>
      </c>
      <c r="P84" s="23" t="str">
        <f aca="false">IF(ISNA(MATCH(C84,Anlagen!$A$5:$A$92,0)),"Fehler: Standort unbekannt",IF(C84=A84,"OK",IF(INDEX($C$5:$C$92,MATCH(C84,Anlagen!$A$5:$A$92,0))&lt;&gt;C84,"Fehler: Standort hängt selbst an anderem Standort",IF(D84=A84,"Fehler: Zuleitung von sich selbst",IF(ISNA(MATCH(D84,Anlagen!$A$5:$A$92,0)),"Fehler: Zuleitung unbekannt",IF(INDEX($C$5:$C$92,MATCH(D84,Anlagen!$A$5:$A$92,0))&lt;&gt;C84,"Fehler: Zuleitung hängt an anderem Standort","OK"))))))</f>
        <v>OK</v>
      </c>
      <c r="Q84" s="23" t="str">
        <f aca="false">Anlagen!AA84</f>
        <v>STILL</v>
      </c>
      <c r="R84" s="23" t="n">
        <f aca="false">IF(Anlagen!AB84&lt;&gt;"",Anlagen!AB84,COUNTIFS($C$5:$C$92,C84,$J$5:$J$92,"&lt;"&amp;J84)+1)</f>
        <v>10</v>
      </c>
      <c r="S84" s="23" t="n">
        <f aca="false">1000+200*(R84-1)+1</f>
        <v>2801</v>
      </c>
      <c r="T84" s="23" t="n">
        <f aca="false">1000+200*(R84-1)+Anlagen!F84</f>
        <v>2850</v>
      </c>
      <c r="U84" s="23" t="n">
        <f aca="false">100+A84</f>
        <v>180</v>
      </c>
      <c r="V84" s="23" t="n">
        <f aca="false">200+A84</f>
        <v>280</v>
      </c>
      <c r="W84" s="23" t="n">
        <f aca="false">300+A84</f>
        <v>380</v>
      </c>
      <c r="X84" s="23" t="str">
        <f aca="false">"10."&amp;A84&amp;".1.0/24"</f>
        <v>10.80.1.0/24</v>
      </c>
      <c r="Y84" s="23" t="str">
        <f aca="false">IF(R84&gt;15,"Fehler: VLAN-Block über 15",IF(COUNTIFS($C$5:$C$92,C84,$R$5:$R$92,R84)&gt;1,"Fehler: VLAN-Block am Standort doppelt",IF(COUNTIF($Q$5:$Q$92,Q84)&gt;1,"Fehler: Kürzel doppelt",IF(Anlagen!F84&gt;199,"Fehler: mehr als 199 Parzellen","OK"))))</f>
        <v>OK</v>
      </c>
    </row>
    <row r="85" customFormat="false" ht="15" hidden="false" customHeight="false" outlineLevel="0" collapsed="false">
      <c r="A85" s="23" t="n">
        <f aca="false">Anlagen!A85</f>
        <v>81</v>
      </c>
      <c r="B85" s="23" t="str">
        <f aca="false">Anlagen!B85</f>
        <v>Traumland</v>
      </c>
      <c r="C85" s="23" t="n">
        <f aca="false">IF(Anlagen!S85&lt;&gt;"",Anlagen!S85,IF(Vorschlag_nutzen=1,Anlagen!Q85,A85))</f>
        <v>81</v>
      </c>
      <c r="D85" s="23" t="str">
        <f aca="false">IF(C85=A85,"",IF(Anlagen!T85&lt;&gt;"",Anlagen!T85,IF(AND(Anlagen!S85="",Vorschlag_nutzen=1,Anlagen!R85&lt;&gt;""),Anlagen!R85,C85)))</f>
        <v/>
      </c>
      <c r="E85" s="23" t="str">
        <f aca="false">IF(C85=A85,IF(COUNTIF($C$5:$C$92,A85)&gt;1,"Gateway-Standort","eigenständig"),"über "&amp;IFERROR(INDEX(Anlagen!$B$5:$B$92,MATCH(D85,Anlagen!$A$5:$A$92,0)),"?"))</f>
        <v>Gateway-Standort</v>
      </c>
      <c r="F85" s="36" t="n">
        <f aca="false">IF(C85=A85,0,IF(Anlagen!V85&lt;&gt;"",Anlagen!V85/1000,IFERROR(SQRT((Anlagen!N85-INDEX(Anlagen!$N$5:$N$92,MATCH(D85,Anlagen!$A$5:$A$92,0)))^2+(Anlagen!O85-INDEX(Anlagen!$O$5:$O$92,MATCH(D85,Anlagen!$A$5:$A$92,0)))^2),0)))</f>
        <v>0</v>
      </c>
      <c r="G85" s="37" t="n">
        <f aca="false">IF(C85=A85,0,IF(Anlagen!V85&lt;&gt;"",Anlagen!V85,F85*1000*Umweg))</f>
        <v>0</v>
      </c>
      <c r="H85" s="38" t="n">
        <f aca="false">IF(C85=A85,0,(G85*(P_Faser+P_Tiefbau)+2*P_SFP+P_MontZul)*EK)</f>
        <v>0</v>
      </c>
      <c r="I85" s="38" t="n">
        <f aca="false">IF(C85=A85,0,(P_Saeule+P_Flex+P_NT+P_Halter+P_Luefter+P_Spleiss+P_Ueber)*EK)</f>
        <v>0</v>
      </c>
      <c r="J85" s="23" t="n">
        <f aca="false">IF(Anlagen!U85&lt;&gt;"",Anlagen!U85,IF(C85=A85,500,1000)+ROW())</f>
        <v>585</v>
      </c>
      <c r="K85" s="37" t="n">
        <f aca="false">SUMIFS(Anlagen!$F$5:$F$92,$C$5:$C$92,C85,$J$5:$J$92,"&lt;"&amp;J85)</f>
        <v>0</v>
      </c>
      <c r="L85" s="23" t="n">
        <f aca="false">INT(K85/PG)+1</f>
        <v>1</v>
      </c>
      <c r="M85" s="23" t="n">
        <f aca="false">MAX(L85,CEILING((K85+Anlagen!F85)/PG,1))</f>
        <v>1</v>
      </c>
      <c r="N85" s="23" t="str">
        <f aca="false">IFERROR(INDEX(Anlagen!$B$5:$B$92,MATCH(C85,Anlagen!$A$5:$A$92,0)),"?")&amp;": GW "&amp;L85&amp;IF(M85&gt;L85,"–"&amp;M85,"")</f>
        <v>Traumland: GW 1</v>
      </c>
      <c r="O85" s="31" t="n">
        <f aca="false">Buchungsquote!V85</f>
        <v>29.1086372360845</v>
      </c>
      <c r="P85" s="23" t="str">
        <f aca="false">IF(ISNA(MATCH(C85,Anlagen!$A$5:$A$92,0)),"Fehler: Standort unbekannt",IF(C85=A85,"OK",IF(INDEX($C$5:$C$92,MATCH(C85,Anlagen!$A$5:$A$92,0))&lt;&gt;C85,"Fehler: Standort hängt selbst an anderem Standort",IF(D85=A85,"Fehler: Zuleitung von sich selbst",IF(ISNA(MATCH(D85,Anlagen!$A$5:$A$92,0)),"Fehler: Zuleitung unbekannt",IF(INDEX($C$5:$C$92,MATCH(D85,Anlagen!$A$5:$A$92,0))&lt;&gt;C85,"Fehler: Zuleitung hängt an anderem Standort","OK"))))))</f>
        <v>OK</v>
      </c>
      <c r="Q85" s="23" t="str">
        <f aca="false">Anlagen!AA85</f>
        <v>TRAUM</v>
      </c>
      <c r="R85" s="23" t="n">
        <f aca="false">IF(Anlagen!AB85&lt;&gt;"",Anlagen!AB85,COUNTIFS($C$5:$C$92,C85,$J$5:$J$92,"&lt;"&amp;J85)+1)</f>
        <v>1</v>
      </c>
      <c r="S85" s="23" t="n">
        <f aca="false">1000+200*(R85-1)+1</f>
        <v>1001</v>
      </c>
      <c r="T85" s="23" t="n">
        <f aca="false">1000+200*(R85-1)+Anlagen!F85</f>
        <v>1049</v>
      </c>
      <c r="U85" s="23" t="n">
        <f aca="false">100+A85</f>
        <v>181</v>
      </c>
      <c r="V85" s="23" t="n">
        <f aca="false">200+A85</f>
        <v>281</v>
      </c>
      <c r="W85" s="23" t="n">
        <f aca="false">300+A85</f>
        <v>381</v>
      </c>
      <c r="X85" s="23" t="str">
        <f aca="false">"10."&amp;A85&amp;".1.0/24"</f>
        <v>10.81.1.0/24</v>
      </c>
      <c r="Y85" s="23" t="str">
        <f aca="false">IF(R85&gt;15,"Fehler: VLAN-Block über 15",IF(COUNTIFS($C$5:$C$92,C85,$R$5:$R$92,R85)&gt;1,"Fehler: VLAN-Block am Standort doppelt",IF(COUNTIF($Q$5:$Q$92,Q85)&gt;1,"Fehler: Kürzel doppelt",IF(Anlagen!F85&gt;199,"Fehler: mehr als 199 Parzellen","OK"))))</f>
        <v>OK</v>
      </c>
    </row>
    <row r="86" customFormat="false" ht="15" hidden="false" customHeight="false" outlineLevel="0" collapsed="false">
      <c r="A86" s="23" t="n">
        <f aca="false">Anlagen!A86</f>
        <v>82</v>
      </c>
      <c r="B86" s="23" t="str">
        <f aca="false">Anlagen!B86</f>
        <v>Waldfrieden</v>
      </c>
      <c r="C86" s="23" t="n">
        <f aca="false">IF(Anlagen!S86&lt;&gt;"",Anlagen!S86,IF(Vorschlag_nutzen=1,Anlagen!Q86,A86))</f>
        <v>28</v>
      </c>
      <c r="D86" s="23" t="n">
        <f aca="false">IF(C86=A86,"",IF(Anlagen!T86&lt;&gt;"",Anlagen!T86,IF(AND(Anlagen!S86="",Vorschlag_nutzen=1,Anlagen!R86&lt;&gt;""),Anlagen!R86,C86)))</f>
        <v>29</v>
      </c>
      <c r="E86" s="23" t="str">
        <f aca="false">IF(C86=A86,IF(COUNTIF($C$5:$C$92,A86)&gt;1,"Gateway-Standort","eigenständig"),"über "&amp;IFERROR(INDEX(Anlagen!$B$5:$B$92,MATCH(D86,Anlagen!$A$5:$A$92,0)),"?"))</f>
        <v>über Erntesegen</v>
      </c>
      <c r="F86" s="36" t="n">
        <f aca="false">IF(C86=A86,0,IF(Anlagen!V86&lt;&gt;"",Anlagen!V86/1000,IFERROR(SQRT((Anlagen!N86-INDEX(Anlagen!$N$5:$N$92,MATCH(D86,Anlagen!$A$5:$A$92,0)))^2+(Anlagen!O86-INDEX(Anlagen!$O$5:$O$92,MATCH(D86,Anlagen!$A$5:$A$92,0)))^2),0)))</f>
        <v>0.796115569499806</v>
      </c>
      <c r="G86" s="37" t="n">
        <f aca="false">IF(C86=A86,0,IF(Anlagen!V86&lt;&gt;"",Anlagen!V86,F86*1000*Umweg))</f>
        <v>1034.95024034975</v>
      </c>
      <c r="H86" s="38" t="n">
        <f aca="false">IF(C86=A86,0,(G86*(P_Faser+P_Tiefbau)+2*P_SFP+P_MontZul)*EK)</f>
        <v>2078.0081790243</v>
      </c>
      <c r="I86" s="38" t="n">
        <f aca="false">IF(C86=A86,0,(P_Saeule+P_Flex+P_NT+P_Halter+P_Luefter+P_Spleiss+P_Ueber)*EK)</f>
        <v>851.326</v>
      </c>
      <c r="J86" s="23" t="n">
        <f aca="false">IF(Anlagen!U86&lt;&gt;"",Anlagen!U86,IF(C86=A86,500,1000)+ROW())</f>
        <v>1086</v>
      </c>
      <c r="K86" s="37" t="n">
        <f aca="false">SUMIFS(Anlagen!$F$5:$F$92,$C$5:$C$92,C86,$J$5:$J$92,"&lt;"&amp;J86)</f>
        <v>357</v>
      </c>
      <c r="L86" s="23" t="n">
        <f aca="false">INT(K86/PG)+1</f>
        <v>7</v>
      </c>
      <c r="M86" s="23" t="n">
        <f aca="false">MAX(L86,CEILING((K86+Anlagen!F86)/PG,1))</f>
        <v>9</v>
      </c>
      <c r="N86" s="23" t="str">
        <f aca="false">IFERROR(INDEX(Anlagen!$B$5:$B$92,MATCH(C86,Anlagen!$A$5:$A$92,0)),"?")&amp;": GW "&amp;L86&amp;IF(M86&gt;L86,"–"&amp;M86,"")</f>
        <v>Erdenglück: GW 7–9</v>
      </c>
      <c r="O86" s="31" t="n">
        <f aca="false">Buchungsquote!V86</f>
        <v>53.4379895561358</v>
      </c>
      <c r="P86" s="23" t="str">
        <f aca="false">IF(ISNA(MATCH(C86,Anlagen!$A$5:$A$92,0)),"Fehler: Standort unbekannt",IF(C86=A86,"OK",IF(INDEX($C$5:$C$92,MATCH(C86,Anlagen!$A$5:$A$92,0))&lt;&gt;C86,"Fehler: Standort hängt selbst an anderem Standort",IF(D86=A86,"Fehler: Zuleitung von sich selbst",IF(ISNA(MATCH(D86,Anlagen!$A$5:$A$92,0)),"Fehler: Zuleitung unbekannt",IF(INDEX($C$5:$C$92,MATCH(D86,Anlagen!$A$5:$A$92,0))&lt;&gt;C86,"Fehler: Zuleitung hängt an anderem Standort","OK"))))))</f>
        <v>OK</v>
      </c>
      <c r="Q86" s="23" t="str">
        <f aca="false">Anlagen!AA86</f>
        <v>WALDF</v>
      </c>
      <c r="R86" s="23" t="n">
        <f aca="false">IF(Anlagen!AB86&lt;&gt;"",Anlagen!AB86,COUNTIFS($C$5:$C$92,C86,$J$5:$J$92,"&lt;"&amp;J86)+1)</f>
        <v>8</v>
      </c>
      <c r="S86" s="23" t="n">
        <f aca="false">1000+200*(R86-1)+1</f>
        <v>2401</v>
      </c>
      <c r="T86" s="23" t="n">
        <f aca="false">1000+200*(R86-1)+Anlagen!F86</f>
        <v>2490</v>
      </c>
      <c r="U86" s="23" t="n">
        <f aca="false">100+A86</f>
        <v>182</v>
      </c>
      <c r="V86" s="23" t="n">
        <f aca="false">200+A86</f>
        <v>282</v>
      </c>
      <c r="W86" s="23" t="n">
        <f aca="false">300+A86</f>
        <v>382</v>
      </c>
      <c r="X86" s="23" t="str">
        <f aca="false">"10."&amp;A86&amp;".1.0/24"</f>
        <v>10.82.1.0/24</v>
      </c>
      <c r="Y86" s="23" t="str">
        <f aca="false">IF(R86&gt;15,"Fehler: VLAN-Block über 15",IF(COUNTIFS($C$5:$C$92,C86,$R$5:$R$92,R86)&gt;1,"Fehler: VLAN-Block am Standort doppelt",IF(COUNTIF($Q$5:$Q$92,Q86)&gt;1,"Fehler: Kürzel doppelt",IF(Anlagen!F86&gt;199,"Fehler: mehr als 199 Parzellen","OK"))))</f>
        <v>OK</v>
      </c>
    </row>
    <row r="87" customFormat="false" ht="15" hidden="false" customHeight="false" outlineLevel="0" collapsed="false">
      <c r="A87" s="23" t="n">
        <f aca="false">Anlagen!A87</f>
        <v>83</v>
      </c>
      <c r="B87" s="23" t="str">
        <f aca="false">Anlagen!B87</f>
        <v>Weinmeisterweg</v>
      </c>
      <c r="C87" s="23" t="n">
        <f aca="false">IF(Anlagen!S87&lt;&gt;"",Anlagen!S87,IF(Vorschlag_nutzen=1,Anlagen!Q87,A87))</f>
        <v>28</v>
      </c>
      <c r="D87" s="23" t="n">
        <f aca="false">IF(C87=A87,"",IF(Anlagen!T87&lt;&gt;"",Anlagen!T87,IF(AND(Anlagen!S87="",Vorschlag_nutzen=1,Anlagen!R87&lt;&gt;""),Anlagen!R87,C87)))</f>
        <v>54</v>
      </c>
      <c r="E87" s="23" t="str">
        <f aca="false">IF(C87=A87,IF(COUNTIF($C$5:$C$92,A87)&gt;1,"Gateway-Standort","eigenständig"),"über "&amp;IFERROR(INDEX(Anlagen!$B$5:$B$92,MATCH(D87,Anlagen!$A$5:$A$92,0)),"?"))</f>
        <v>über Immergrün</v>
      </c>
      <c r="F87" s="36" t="n">
        <f aca="false">IF(C87=A87,0,IF(Anlagen!V87&lt;&gt;"",Anlagen!V87/1000,IFERROR(SQRT((Anlagen!N87-INDEX(Anlagen!$N$5:$N$92,MATCH(D87,Anlagen!$A$5:$A$92,0)))^2+(Anlagen!O87-INDEX(Anlagen!$O$5:$O$92,MATCH(D87,Anlagen!$A$5:$A$92,0)))^2),0)))</f>
        <v>1.25099960031968</v>
      </c>
      <c r="G87" s="37" t="n">
        <f aca="false">IF(C87=A87,0,IF(Anlagen!V87&lt;&gt;"",Anlagen!V87,F87*1000*Umweg))</f>
        <v>1626.29948041559</v>
      </c>
      <c r="H87" s="38" t="n">
        <f aca="false">IF(C87=A87,0,(G87*(P_Faser+P_Tiefbau)+2*P_SFP+P_MontZul)*EK)</f>
        <v>3133.56657254182</v>
      </c>
      <c r="I87" s="38" t="n">
        <f aca="false">IF(C87=A87,0,(P_Saeule+P_Flex+P_NT+P_Halter+P_Luefter+P_Spleiss+P_Ueber)*EK)</f>
        <v>851.326</v>
      </c>
      <c r="J87" s="23" t="n">
        <f aca="false">IF(Anlagen!U87&lt;&gt;"",Anlagen!U87,IF(C87=A87,500,1000)+ROW())</f>
        <v>1087</v>
      </c>
      <c r="K87" s="37" t="n">
        <f aca="false">SUMIFS(Anlagen!$F$5:$F$92,$C$5:$C$92,C87,$J$5:$J$92,"&lt;"&amp;J87)</f>
        <v>447</v>
      </c>
      <c r="L87" s="23" t="n">
        <f aca="false">INT(K87/PG)+1</f>
        <v>9</v>
      </c>
      <c r="M87" s="23" t="n">
        <f aca="false">MAX(L87,CEILING((K87+Anlagen!F87)/PG,1))</f>
        <v>9</v>
      </c>
      <c r="N87" s="23" t="str">
        <f aca="false">IFERROR(INDEX(Anlagen!$B$5:$B$92,MATCH(C87,Anlagen!$A$5:$A$92,0)),"?")&amp;": GW "&amp;L87&amp;IF(M87&gt;L87,"–"&amp;M87,"")</f>
        <v>Erdenglück: GW 9</v>
      </c>
      <c r="O87" s="31" t="n">
        <f aca="false">Buchungsquote!V87</f>
        <v>14.812925170068</v>
      </c>
      <c r="P87" s="23" t="str">
        <f aca="false">IF(ISNA(MATCH(C87,Anlagen!$A$5:$A$92,0)),"Fehler: Standort unbekannt",IF(C87=A87,"OK",IF(INDEX($C$5:$C$92,MATCH(C87,Anlagen!$A$5:$A$92,0))&lt;&gt;C87,"Fehler: Standort hängt selbst an anderem Standort",IF(D87=A87,"Fehler: Zuleitung von sich selbst",IF(ISNA(MATCH(D87,Anlagen!$A$5:$A$92,0)),"Fehler: Zuleitung unbekannt",IF(INDEX($C$5:$C$92,MATCH(D87,Anlagen!$A$5:$A$92,0))&lt;&gt;C87,"Fehler: Zuleitung hängt an anderem Standort","OK"))))))</f>
        <v>OK</v>
      </c>
      <c r="Q87" s="23" t="str">
        <f aca="false">Anlagen!AA87</f>
        <v>WEINM</v>
      </c>
      <c r="R87" s="23" t="n">
        <f aca="false">IF(Anlagen!AB87&lt;&gt;"",Anlagen!AB87,COUNTIFS($C$5:$C$92,C87,$J$5:$J$92,"&lt;"&amp;J87)+1)</f>
        <v>9</v>
      </c>
      <c r="S87" s="23" t="n">
        <f aca="false">1000+200*(R87-1)+1</f>
        <v>2601</v>
      </c>
      <c r="T87" s="23" t="n">
        <f aca="false">1000+200*(R87-1)+Anlagen!F87</f>
        <v>2626</v>
      </c>
      <c r="U87" s="23" t="n">
        <f aca="false">100+A87</f>
        <v>183</v>
      </c>
      <c r="V87" s="23" t="n">
        <f aca="false">200+A87</f>
        <v>283</v>
      </c>
      <c r="W87" s="23" t="n">
        <f aca="false">300+A87</f>
        <v>383</v>
      </c>
      <c r="X87" s="23" t="str">
        <f aca="false">"10."&amp;A87&amp;".1.0/24"</f>
        <v>10.83.1.0/24</v>
      </c>
      <c r="Y87" s="23" t="str">
        <f aca="false">IF(R87&gt;15,"Fehler: VLAN-Block über 15",IF(COUNTIFS($C$5:$C$92,C87,$R$5:$R$92,R87)&gt;1,"Fehler: VLAN-Block am Standort doppelt",IF(COUNTIF($Q$5:$Q$92,Q87)&gt;1,"Fehler: Kürzel doppelt",IF(Anlagen!F87&gt;199,"Fehler: mehr als 199 Parzellen","OK"))))</f>
        <v>OK</v>
      </c>
    </row>
    <row r="88" customFormat="false" ht="15" hidden="false" customHeight="false" outlineLevel="0" collapsed="false">
      <c r="A88" s="23" t="n">
        <f aca="false">Anlagen!A88</f>
        <v>84</v>
      </c>
      <c r="B88" s="23" t="str">
        <f aca="false">Anlagen!B88</f>
        <v>Wittstocker Gäßchen</v>
      </c>
      <c r="C88" s="23" t="n">
        <f aca="false">IF(Anlagen!S88&lt;&gt;"",Anlagen!S88,IF(Vorschlag_nutzen=1,Anlagen!Q88,A88))</f>
        <v>17</v>
      </c>
      <c r="D88" s="23" t="n">
        <f aca="false">IF(C88=A88,"",IF(Anlagen!T88&lt;&gt;"",Anlagen!T88,IF(AND(Anlagen!S88="",Vorschlag_nutzen=1,Anlagen!R88&lt;&gt;""),Anlagen!R88,C88)))</f>
        <v>17</v>
      </c>
      <c r="E88" s="23" t="str">
        <f aca="false">IF(C88=A88,IF(COUNTIF($C$5:$C$92,A88)&gt;1,"Gateway-Standort","eigenständig"),"über "&amp;IFERROR(INDEX(Anlagen!$B$5:$B$92,MATCH(D88,Anlagen!$A$5:$A$92,0)),"?"))</f>
        <v>über Birkenwäldchen</v>
      </c>
      <c r="F88" s="36" t="n">
        <f aca="false">IF(C88=A88,0,IF(Anlagen!V88&lt;&gt;"",Anlagen!V88/1000,IFERROR(SQRT((Anlagen!N88-INDEX(Anlagen!$N$5:$N$92,MATCH(D88,Anlagen!$A$5:$A$92,0)))^2+(Anlagen!O88-INDEX(Anlagen!$O$5:$O$92,MATCH(D88,Anlagen!$A$5:$A$92,0)))^2),0)))</f>
        <v>0.590931468107766</v>
      </c>
      <c r="G88" s="37" t="n">
        <f aca="false">IF(C88=A88,0,IF(Anlagen!V88&lt;&gt;"",Anlagen!V88,F88*1000*Umweg))</f>
        <v>768.210908540096</v>
      </c>
      <c r="H88" s="38" t="n">
        <f aca="false">IF(C88=A88,0,(G88*(P_Faser+P_Tiefbau)+2*P_SFP+P_MontZul)*EK)</f>
        <v>1601.87847174407</v>
      </c>
      <c r="I88" s="38" t="n">
        <f aca="false">IF(C88=A88,0,(P_Saeule+P_Flex+P_NT+P_Halter+P_Luefter+P_Spleiss+P_Ueber)*EK)</f>
        <v>851.326</v>
      </c>
      <c r="J88" s="23" t="n">
        <f aca="false">IF(Anlagen!U88&lt;&gt;"",Anlagen!U88,IF(C88=A88,500,1000)+ROW())</f>
        <v>1088</v>
      </c>
      <c r="K88" s="37" t="n">
        <f aca="false">SUMIFS(Anlagen!$F$5:$F$92,$C$5:$C$92,C88,$J$5:$J$92,"&lt;"&amp;J88)</f>
        <v>489</v>
      </c>
      <c r="L88" s="23" t="n">
        <f aca="false">INT(K88/PG)+1</f>
        <v>9</v>
      </c>
      <c r="M88" s="23" t="n">
        <f aca="false">MAX(L88,CEILING((K88+Anlagen!F88)/PG,1))</f>
        <v>10</v>
      </c>
      <c r="N88" s="23" t="str">
        <f aca="false">IFERROR(INDEX(Anlagen!$B$5:$B$92,MATCH(C88,Anlagen!$A$5:$A$92,0)),"?")&amp;": GW "&amp;L88&amp;IF(M88&gt;L88,"–"&amp;M88,"")</f>
        <v>Birkenwäldchen: GW 9–10</v>
      </c>
      <c r="O88" s="31" t="n">
        <f aca="false">Buchungsquote!V88</f>
        <v>29.5906542056075</v>
      </c>
      <c r="P88" s="23" t="str">
        <f aca="false">IF(ISNA(MATCH(C88,Anlagen!$A$5:$A$92,0)),"Fehler: Standort unbekannt",IF(C88=A88,"OK",IF(INDEX($C$5:$C$92,MATCH(C88,Anlagen!$A$5:$A$92,0))&lt;&gt;C88,"Fehler: Standort hängt selbst an anderem Standort",IF(D88=A88,"Fehler: Zuleitung von sich selbst",IF(ISNA(MATCH(D88,Anlagen!$A$5:$A$92,0)),"Fehler: Zuleitung unbekannt",IF(INDEX($C$5:$C$92,MATCH(D88,Anlagen!$A$5:$A$92,0))&lt;&gt;C88,"Fehler: Zuleitung hängt an anderem Standort","OK"))))))</f>
        <v>OK</v>
      </c>
      <c r="Q88" s="23" t="str">
        <f aca="false">Anlagen!AA88</f>
        <v>WITTS</v>
      </c>
      <c r="R88" s="23" t="n">
        <f aca="false">IF(Anlagen!AB88&lt;&gt;"",Anlagen!AB88,COUNTIFS($C$5:$C$92,C88,$J$5:$J$92,"&lt;"&amp;J88)+1)</f>
        <v>11</v>
      </c>
      <c r="S88" s="23" t="n">
        <f aca="false">1000+200*(R88-1)+1</f>
        <v>3001</v>
      </c>
      <c r="T88" s="23" t="n">
        <f aca="false">1000+200*(R88-1)+Anlagen!F88</f>
        <v>3054</v>
      </c>
      <c r="U88" s="23" t="n">
        <f aca="false">100+A88</f>
        <v>184</v>
      </c>
      <c r="V88" s="23" t="n">
        <f aca="false">200+A88</f>
        <v>284</v>
      </c>
      <c r="W88" s="23" t="n">
        <f aca="false">300+A88</f>
        <v>384</v>
      </c>
      <c r="X88" s="23" t="str">
        <f aca="false">"10."&amp;A88&amp;".1.0/24"</f>
        <v>10.84.1.0/24</v>
      </c>
      <c r="Y88" s="23" t="str">
        <f aca="false">IF(R88&gt;15,"Fehler: VLAN-Block über 15",IF(COUNTIFS($C$5:$C$92,C88,$R$5:$R$92,R88)&gt;1,"Fehler: VLAN-Block am Standort doppelt",IF(COUNTIF($Q$5:$Q$92,Q88)&gt;1,"Fehler: Kürzel doppelt",IF(Anlagen!F88&gt;199,"Fehler: mehr als 199 Parzellen","OK"))))</f>
        <v>OK</v>
      </c>
    </row>
    <row r="89" customFormat="false" ht="15" hidden="false" customHeight="false" outlineLevel="0" collapsed="false">
      <c r="A89" s="23" t="n">
        <f aca="false">Anlagen!A89</f>
        <v>85</v>
      </c>
      <c r="B89" s="23" t="str">
        <f aca="false">Anlagen!B89</f>
        <v>Zukunft</v>
      </c>
      <c r="C89" s="23" t="n">
        <f aca="false">IF(Anlagen!S89&lt;&gt;"",Anlagen!S89,IF(Vorschlag_nutzen=1,Anlagen!Q89,A89))</f>
        <v>85</v>
      </c>
      <c r="D89" s="23" t="str">
        <f aca="false">IF(C89=A89,"",IF(Anlagen!T89&lt;&gt;"",Anlagen!T89,IF(AND(Anlagen!S89="",Vorschlag_nutzen=1,Anlagen!R89&lt;&gt;""),Anlagen!R89,C89)))</f>
        <v/>
      </c>
      <c r="E89" s="23" t="str">
        <f aca="false">IF(C89=A89,IF(COUNTIF($C$5:$C$92,A89)&gt;1,"Gateway-Standort","eigenständig"),"über "&amp;IFERROR(INDEX(Anlagen!$B$5:$B$92,MATCH(D89,Anlagen!$A$5:$A$92,0)),"?"))</f>
        <v>Gateway-Standort</v>
      </c>
      <c r="F89" s="36" t="n">
        <f aca="false">IF(C89=A89,0,IF(Anlagen!V89&lt;&gt;"",Anlagen!V89/1000,IFERROR(SQRT((Anlagen!N89-INDEX(Anlagen!$N$5:$N$92,MATCH(D89,Anlagen!$A$5:$A$92,0)))^2+(Anlagen!O89-INDEX(Anlagen!$O$5:$O$92,MATCH(D89,Anlagen!$A$5:$A$92,0)))^2),0)))</f>
        <v>0</v>
      </c>
      <c r="G89" s="37" t="n">
        <f aca="false">IF(C89=A89,0,IF(Anlagen!V89&lt;&gt;"",Anlagen!V89,F89*1000*Umweg))</f>
        <v>0</v>
      </c>
      <c r="H89" s="38" t="n">
        <f aca="false">IF(C89=A89,0,(G89*(P_Faser+P_Tiefbau)+2*P_SFP+P_MontZul)*EK)</f>
        <v>0</v>
      </c>
      <c r="I89" s="38" t="n">
        <f aca="false">IF(C89=A89,0,(P_Saeule+P_Flex+P_NT+P_Halter+P_Luefter+P_Spleiss+P_Ueber)*EK)</f>
        <v>0</v>
      </c>
      <c r="J89" s="23" t="n">
        <f aca="false">IF(Anlagen!U89&lt;&gt;"",Anlagen!U89,IF(C89=A89,500,1000)+ROW())</f>
        <v>589</v>
      </c>
      <c r="K89" s="37" t="n">
        <f aca="false">SUMIFS(Anlagen!$F$5:$F$92,$C$5:$C$92,C89,$J$5:$J$92,"&lt;"&amp;J89)</f>
        <v>0</v>
      </c>
      <c r="L89" s="23" t="n">
        <f aca="false">INT(K89/PG)+1</f>
        <v>1</v>
      </c>
      <c r="M89" s="23" t="n">
        <f aca="false">MAX(L89,CEILING((K89+Anlagen!F89)/PG,1))</f>
        <v>2</v>
      </c>
      <c r="N89" s="23" t="str">
        <f aca="false">IFERROR(INDEX(Anlagen!$B$5:$B$92,MATCH(C89,Anlagen!$A$5:$A$92,0)),"?")&amp;": GW "&amp;L89&amp;IF(M89&gt;L89,"–"&amp;M89,"")</f>
        <v>Zukunft: GW 1–2</v>
      </c>
      <c r="O89" s="31" t="n">
        <f aca="false">Buchungsquote!V89</f>
        <v>51.1704585537919</v>
      </c>
      <c r="P89" s="23" t="str">
        <f aca="false">IF(ISNA(MATCH(C89,Anlagen!$A$5:$A$92,0)),"Fehler: Standort unbekannt",IF(C89=A89,"OK",IF(INDEX($C$5:$C$92,MATCH(C89,Anlagen!$A$5:$A$92,0))&lt;&gt;C89,"Fehler: Standort hängt selbst an anderem Standort",IF(D89=A89,"Fehler: Zuleitung von sich selbst",IF(ISNA(MATCH(D89,Anlagen!$A$5:$A$92,0)),"Fehler: Zuleitung unbekannt",IF(INDEX($C$5:$C$92,MATCH(D89,Anlagen!$A$5:$A$92,0))&lt;&gt;C89,"Fehler: Zuleitung hängt an anderem Standort","OK"))))))</f>
        <v>OK</v>
      </c>
      <c r="Q89" s="23" t="str">
        <f aca="false">Anlagen!AA89</f>
        <v>ZUKUN</v>
      </c>
      <c r="R89" s="23" t="n">
        <f aca="false">IF(Anlagen!AB89&lt;&gt;"",Anlagen!AB89,COUNTIFS($C$5:$C$92,C89,$J$5:$J$92,"&lt;"&amp;J89)+1)</f>
        <v>1</v>
      </c>
      <c r="S89" s="23" t="n">
        <f aca="false">1000+200*(R89-1)+1</f>
        <v>1001</v>
      </c>
      <c r="T89" s="23" t="n">
        <f aca="false">1000+200*(R89-1)+Anlagen!F89</f>
        <v>1085</v>
      </c>
      <c r="U89" s="23" t="n">
        <f aca="false">100+A89</f>
        <v>185</v>
      </c>
      <c r="V89" s="23" t="n">
        <f aca="false">200+A89</f>
        <v>285</v>
      </c>
      <c r="W89" s="23" t="n">
        <f aca="false">300+A89</f>
        <v>385</v>
      </c>
      <c r="X89" s="23" t="str">
        <f aca="false">"10."&amp;A89&amp;".1.0/24"</f>
        <v>10.85.1.0/24</v>
      </c>
      <c r="Y89" s="23" t="str">
        <f aca="false">IF(R89&gt;15,"Fehler: VLAN-Block über 15",IF(COUNTIFS($C$5:$C$92,C89,$R$5:$R$92,R89)&gt;1,"Fehler: VLAN-Block am Standort doppelt",IF(COUNTIF($Q$5:$Q$92,Q89)&gt;1,"Fehler: Kürzel doppelt",IF(Anlagen!F89&gt;199,"Fehler: mehr als 199 Parzellen","OK"))))</f>
        <v>OK</v>
      </c>
    </row>
    <row r="90" customFormat="false" ht="15" hidden="false" customHeight="false" outlineLevel="0" collapsed="false">
      <c r="A90" s="23" t="n">
        <f aca="false">Anlagen!A90</f>
        <v>86</v>
      </c>
      <c r="B90" s="23" t="str">
        <f aca="false">Anlagen!B90</f>
        <v>Zum Burgweg</v>
      </c>
      <c r="C90" s="23" t="n">
        <f aca="false">IF(Anlagen!S90&lt;&gt;"",Anlagen!S90,IF(Vorschlag_nutzen=1,Anlagen!Q90,A90))</f>
        <v>85</v>
      </c>
      <c r="D90" s="23" t="n">
        <f aca="false">IF(C90=A90,"",IF(Anlagen!T90&lt;&gt;"",Anlagen!T90,IF(AND(Anlagen!S90="",Vorschlag_nutzen=1,Anlagen!R90&lt;&gt;""),Anlagen!R90,C90)))</f>
        <v>87</v>
      </c>
      <c r="E90" s="23" t="str">
        <f aca="false">IF(C90=A90,IF(COUNTIF($C$5:$C$92,A90)&gt;1,"Gateway-Standort","eigenständig"),"über "&amp;IFERROR(INDEX(Anlagen!$B$5:$B$92,MATCH(D90,Anlagen!$A$5:$A$92,0)),"?"))</f>
        <v>über Zum kühlen Grunde</v>
      </c>
      <c r="F90" s="36" t="n">
        <f aca="false">IF(C90=A90,0,IF(Anlagen!V90&lt;&gt;"",Anlagen!V90/1000,IFERROR(SQRT((Anlagen!N90-INDEX(Anlagen!$N$5:$N$92,MATCH(D90,Anlagen!$A$5:$A$92,0)))^2+(Anlagen!O90-INDEX(Anlagen!$O$5:$O$92,MATCH(D90,Anlagen!$A$5:$A$92,0)))^2),0)))</f>
        <v>0.170293863659264</v>
      </c>
      <c r="G90" s="37" t="n">
        <f aca="false">IF(C90=A90,0,IF(Anlagen!V90&lt;&gt;"",Anlagen!V90,F90*1000*Umweg))</f>
        <v>221.382022757043</v>
      </c>
      <c r="H90" s="38" t="n">
        <f aca="false">IF(C90=A90,0,(G90*(P_Faser+P_Tiefbau)+2*P_SFP+P_MontZul)*EK)</f>
        <v>625.788910621322</v>
      </c>
      <c r="I90" s="38" t="n">
        <f aca="false">IF(C90=A90,0,(P_Saeule+P_Flex+P_NT+P_Halter+P_Luefter+P_Spleiss+P_Ueber)*EK)</f>
        <v>851.326</v>
      </c>
      <c r="J90" s="23" t="n">
        <f aca="false">IF(Anlagen!U90&lt;&gt;"",Anlagen!U90,IF(C90=A90,500,1000)+ROW())</f>
        <v>1090</v>
      </c>
      <c r="K90" s="37" t="n">
        <f aca="false">SUMIFS(Anlagen!$F$5:$F$92,$C$5:$C$92,C90,$J$5:$J$92,"&lt;"&amp;J90)</f>
        <v>238</v>
      </c>
      <c r="L90" s="23" t="n">
        <f aca="false">INT(K90/PG)+1</f>
        <v>5</v>
      </c>
      <c r="M90" s="23" t="n">
        <f aca="false">MAX(L90,CEILING((K90+Anlagen!F90)/PG,1))</f>
        <v>5</v>
      </c>
      <c r="N90" s="23" t="str">
        <f aca="false">IFERROR(INDEX(Anlagen!$B$5:$B$92,MATCH(C90,Anlagen!$A$5:$A$92,0)),"?")&amp;": GW "&amp;L90&amp;IF(M90&gt;L90,"–"&amp;M90,"")</f>
        <v>Zukunft: GW 5</v>
      </c>
      <c r="O90" s="31" t="n">
        <f aca="false">Buchungsquote!V90</f>
        <v>5.15974576271186</v>
      </c>
      <c r="P90" s="23" t="str">
        <f aca="false">IF(ISNA(MATCH(C90,Anlagen!$A$5:$A$92,0)),"Fehler: Standort unbekannt",IF(C90=A90,"OK",IF(INDEX($C$5:$C$92,MATCH(C90,Anlagen!$A$5:$A$92,0))&lt;&gt;C90,"Fehler: Standort hängt selbst an anderem Standort",IF(D90=A90,"Fehler: Zuleitung von sich selbst",IF(ISNA(MATCH(D90,Anlagen!$A$5:$A$92,0)),"Fehler: Zuleitung unbekannt",IF(INDEX($C$5:$C$92,MATCH(D90,Anlagen!$A$5:$A$92,0))&lt;&gt;C90,"Fehler: Zuleitung hängt an anderem Standort","OK"))))))</f>
        <v>OK</v>
      </c>
      <c r="Q90" s="23" t="str">
        <f aca="false">Anlagen!AA90</f>
        <v>BURGW</v>
      </c>
      <c r="R90" s="23" t="n">
        <f aca="false">IF(Anlagen!AB90&lt;&gt;"",Anlagen!AB90,COUNTIFS($C$5:$C$92,C90,$J$5:$J$92,"&lt;"&amp;J90)+1)</f>
        <v>5</v>
      </c>
      <c r="S90" s="23" t="n">
        <f aca="false">1000+200*(R90-1)+1</f>
        <v>1801</v>
      </c>
      <c r="T90" s="23" t="n">
        <f aca="false">1000+200*(R90-1)+Anlagen!F90</f>
        <v>1809</v>
      </c>
      <c r="U90" s="23" t="n">
        <f aca="false">100+A90</f>
        <v>186</v>
      </c>
      <c r="V90" s="23" t="n">
        <f aca="false">200+A90</f>
        <v>286</v>
      </c>
      <c r="W90" s="23" t="n">
        <f aca="false">300+A90</f>
        <v>386</v>
      </c>
      <c r="X90" s="23" t="str">
        <f aca="false">"10."&amp;A90&amp;".1.0/24"</f>
        <v>10.86.1.0/24</v>
      </c>
      <c r="Y90" s="23" t="str">
        <f aca="false">IF(R90&gt;15,"Fehler: VLAN-Block über 15",IF(COUNTIFS($C$5:$C$92,C90,$R$5:$R$92,R90)&gt;1,"Fehler: VLAN-Block am Standort doppelt",IF(COUNTIF($Q$5:$Q$92,Q90)&gt;1,"Fehler: Kürzel doppelt",IF(Anlagen!F90&gt;199,"Fehler: mehr als 199 Parzellen","OK"))))</f>
        <v>OK</v>
      </c>
    </row>
    <row r="91" customFormat="false" ht="15" hidden="false" customHeight="false" outlineLevel="0" collapsed="false">
      <c r="A91" s="23" t="n">
        <f aca="false">Anlagen!A91</f>
        <v>87</v>
      </c>
      <c r="B91" s="23" t="str">
        <f aca="false">Anlagen!B91</f>
        <v>Zum kühlen Grunde</v>
      </c>
      <c r="C91" s="23" t="n">
        <f aca="false">IF(Anlagen!S91&lt;&gt;"",Anlagen!S91,IF(Vorschlag_nutzen=1,Anlagen!Q91,A91))</f>
        <v>85</v>
      </c>
      <c r="D91" s="23" t="n">
        <f aca="false">IF(C91=A91,"",IF(Anlagen!T91&lt;&gt;"",Anlagen!T91,IF(AND(Anlagen!S91="",Vorschlag_nutzen=1,Anlagen!R91&lt;&gt;""),Anlagen!R91,C91)))</f>
        <v>53</v>
      </c>
      <c r="E91" s="23" t="str">
        <f aca="false">IF(C91=A91,IF(COUNTIF($C$5:$C$92,A91)&gt;1,"Gateway-Standort","eigenständig"),"über "&amp;IFERROR(INDEX(Anlagen!$B$5:$B$92,MATCH(D91,Anlagen!$A$5:$A$92,0)),"?"))</f>
        <v>über Im Mittelbruch II</v>
      </c>
      <c r="F91" s="36" t="n">
        <f aca="false">IF(C91=A91,0,IF(Anlagen!V91&lt;&gt;"",Anlagen!V91/1000,IFERROR(SQRT((Anlagen!N91-INDEX(Anlagen!$N$5:$N$92,MATCH(D91,Anlagen!$A$5:$A$92,0)))^2+(Anlagen!O91-INDEX(Anlagen!$O$5:$O$92,MATCH(D91,Anlagen!$A$5:$A$92,0)))^2),0)))</f>
        <v>0.517880295048962</v>
      </c>
      <c r="G91" s="37" t="n">
        <f aca="false">IF(C91=A91,0,IF(Anlagen!V91&lt;&gt;"",Anlagen!V91,F91*1000*Umweg))</f>
        <v>673.24438356365</v>
      </c>
      <c r="H91" s="38" t="n">
        <f aca="false">IF(C91=A91,0,(G91*(P_Faser+P_Tiefbau)+2*P_SFP+P_MontZul)*EK)</f>
        <v>1432.36322466112</v>
      </c>
      <c r="I91" s="38" t="n">
        <f aca="false">IF(C91=A91,0,(P_Saeule+P_Flex+P_NT+P_Halter+P_Luefter+P_Spleiss+P_Ueber)*EK)</f>
        <v>851.326</v>
      </c>
      <c r="J91" s="23" t="n">
        <f aca="false">IF(Anlagen!U91&lt;&gt;"",Anlagen!U91,IF(C91=A91,500,1000)+ROW())</f>
        <v>1091</v>
      </c>
      <c r="K91" s="37" t="n">
        <f aca="false">SUMIFS(Anlagen!$F$5:$F$92,$C$5:$C$92,C91,$J$5:$J$92,"&lt;"&amp;J91)</f>
        <v>247</v>
      </c>
      <c r="L91" s="23" t="n">
        <f aca="false">INT(K91/PG)+1</f>
        <v>5</v>
      </c>
      <c r="M91" s="23" t="n">
        <f aca="false">MAX(L91,CEILING((K91+Anlagen!F91)/PG,1))</f>
        <v>5</v>
      </c>
      <c r="N91" s="23" t="str">
        <f aca="false">IFERROR(INDEX(Anlagen!$B$5:$B$92,MATCH(C91,Anlagen!$A$5:$A$92,0)),"?")&amp;": GW "&amp;L91&amp;IF(M91&gt;L91,"–"&amp;M91,"")</f>
        <v>Zukunft: GW 5</v>
      </c>
      <c r="O91" s="31" t="n">
        <f aca="false">Buchungsquote!V91</f>
        <v>15.2217514124294</v>
      </c>
      <c r="P91" s="23" t="str">
        <f aca="false">IF(ISNA(MATCH(C91,Anlagen!$A$5:$A$92,0)),"Fehler: Standort unbekannt",IF(C91=A91,"OK",IF(INDEX($C$5:$C$92,MATCH(C91,Anlagen!$A$5:$A$92,0))&lt;&gt;C91,"Fehler: Standort hängt selbst an anderem Standort",IF(D91=A91,"Fehler: Zuleitung von sich selbst",IF(ISNA(MATCH(D91,Anlagen!$A$5:$A$92,0)),"Fehler: Zuleitung unbekannt",IF(INDEX($C$5:$C$92,MATCH(D91,Anlagen!$A$5:$A$92,0))&lt;&gt;C91,"Fehler: Zuleitung hängt an anderem Standort","OK"))))))</f>
        <v>OK</v>
      </c>
      <c r="Q91" s="23" t="str">
        <f aca="false">Anlagen!AA91</f>
        <v>KUEHL</v>
      </c>
      <c r="R91" s="23" t="n">
        <f aca="false">IF(Anlagen!AB91&lt;&gt;"",Anlagen!AB91,COUNTIFS($C$5:$C$92,C91,$J$5:$J$92,"&lt;"&amp;J91)+1)</f>
        <v>6</v>
      </c>
      <c r="S91" s="23" t="n">
        <f aca="false">1000+200*(R91-1)+1</f>
        <v>2001</v>
      </c>
      <c r="T91" s="23" t="n">
        <f aca="false">1000+200*(R91-1)+Anlagen!F91</f>
        <v>2026</v>
      </c>
      <c r="U91" s="23" t="n">
        <f aca="false">100+A91</f>
        <v>187</v>
      </c>
      <c r="V91" s="23" t="n">
        <f aca="false">200+A91</f>
        <v>287</v>
      </c>
      <c r="W91" s="23" t="n">
        <f aca="false">300+A91</f>
        <v>387</v>
      </c>
      <c r="X91" s="23" t="str">
        <f aca="false">"10."&amp;A91&amp;".1.0/24"</f>
        <v>10.87.1.0/24</v>
      </c>
      <c r="Y91" s="23" t="str">
        <f aca="false">IF(R91&gt;15,"Fehler: VLAN-Block über 15",IF(COUNTIFS($C$5:$C$92,C91,$R$5:$R$92,R91)&gt;1,"Fehler: VLAN-Block am Standort doppelt",IF(COUNTIF($Q$5:$Q$92,Q91)&gt;1,"Fehler: Kürzel doppelt",IF(Anlagen!F91&gt;199,"Fehler: mehr als 199 Parzellen","OK"))))</f>
        <v>OK</v>
      </c>
    </row>
    <row r="92" customFormat="false" ht="15" hidden="false" customHeight="false" outlineLevel="0" collapsed="false">
      <c r="A92" s="23" t="n">
        <f aca="false">Anlagen!A92</f>
        <v>88</v>
      </c>
      <c r="B92" s="23" t="str">
        <f aca="false">Anlagen!B92</f>
        <v>Zur Insel</v>
      </c>
      <c r="C92" s="23" t="n">
        <f aca="false">IF(Anlagen!S92&lt;&gt;"",Anlagen!S92,IF(Vorschlag_nutzen=1,Anlagen!Q92,A92))</f>
        <v>49</v>
      </c>
      <c r="D92" s="23" t="n">
        <f aca="false">IF(C92=A92,"",IF(Anlagen!T92&lt;&gt;"",Anlagen!T92,IF(AND(Anlagen!S92="",Vorschlag_nutzen=1,Anlagen!R92&lt;&gt;""),Anlagen!R92,C92)))</f>
        <v>49</v>
      </c>
      <c r="E92" s="23" t="str">
        <f aca="false">IF(C92=A92,IF(COUNTIF($C$5:$C$92,A92)&gt;1,"Gateway-Standort","eigenständig"),"über "&amp;IFERROR(INDEX(Anlagen!$B$5:$B$92,MATCH(D92,Anlagen!$A$5:$A$92,0)),"?"))</f>
        <v>über Helgoland</v>
      </c>
      <c r="F92" s="36" t="n">
        <f aca="false">IF(C92=A92,0,IF(Anlagen!V92&lt;&gt;"",Anlagen!V92/1000,IFERROR(SQRT((Anlagen!N92-INDEX(Anlagen!$N$5:$N$92,MATCH(D92,Anlagen!$A$5:$A$92,0)))^2+(Anlagen!O92-INDEX(Anlagen!$O$5:$O$92,MATCH(D92,Anlagen!$A$5:$A$92,0)))^2),0)))</f>
        <v>1.47410990092327</v>
      </c>
      <c r="G92" s="37" t="n">
        <f aca="false">IF(C92=A92,0,IF(Anlagen!V92&lt;&gt;"",Anlagen!V92,F92*1000*Umweg))</f>
        <v>1916.34287120025</v>
      </c>
      <c r="H92" s="38" t="n">
        <f aca="false">IF(C92=A92,0,(G92*(P_Faser+P_Tiefbau)+2*P_SFP+P_MontZul)*EK)</f>
        <v>3651.29402509244</v>
      </c>
      <c r="I92" s="38" t="n">
        <f aca="false">IF(C92=A92,0,(P_Saeule+P_Flex+P_NT+P_Halter+P_Luefter+P_Spleiss+P_Ueber)*EK)</f>
        <v>851.326</v>
      </c>
      <c r="J92" s="23" t="n">
        <f aca="false">IF(Anlagen!U92&lt;&gt;"",Anlagen!U92,IF(C92=A92,500,1000)+ROW())</f>
        <v>1092</v>
      </c>
      <c r="K92" s="37" t="n">
        <f aca="false">SUMIFS(Anlagen!$F$5:$F$92,$C$5:$C$92,C92,$J$5:$J$92,"&lt;"&amp;J92)</f>
        <v>463</v>
      </c>
      <c r="L92" s="23" t="n">
        <f aca="false">INT(K92/PG)+1</f>
        <v>9</v>
      </c>
      <c r="M92" s="23" t="n">
        <f aca="false">MAX(L92,CEILING((K92+Anlagen!F92)/PG,1))</f>
        <v>10</v>
      </c>
      <c r="N92" s="23" t="str">
        <f aca="false">IFERROR(INDEX(Anlagen!$B$5:$B$92,MATCH(C92,Anlagen!$A$5:$A$92,0)),"?")&amp;": GW "&amp;L92&amp;IF(M92&gt;L92,"–"&amp;M92,"")</f>
        <v>Helgoland: GW 9–10</v>
      </c>
      <c r="O92" s="31" t="n">
        <f aca="false">Buchungsquote!V92</f>
        <v>48.373967339097</v>
      </c>
      <c r="P92" s="23" t="str">
        <f aca="false">IF(ISNA(MATCH(C92,Anlagen!$A$5:$A$92,0)),"Fehler: Standort unbekannt",IF(C92=A92,"OK",IF(INDEX($C$5:$C$92,MATCH(C92,Anlagen!$A$5:$A$92,0))&lt;&gt;C92,"Fehler: Standort hängt selbst an anderem Standort",IF(D92=A92,"Fehler: Zuleitung von sich selbst",IF(ISNA(MATCH(D92,Anlagen!$A$5:$A$92,0)),"Fehler: Zuleitung unbekannt",IF(INDEX($C$5:$C$92,MATCH(D92,Anlagen!$A$5:$A$92,0))&lt;&gt;C92,"Fehler: Zuleitung hängt an anderem Standort","OK"))))))</f>
        <v>OK</v>
      </c>
      <c r="Q92" s="23" t="str">
        <f aca="false">Anlagen!AA92</f>
        <v>INSEL</v>
      </c>
      <c r="R92" s="23" t="n">
        <f aca="false">IF(Anlagen!AB92&lt;&gt;"",Anlagen!AB92,COUNTIFS($C$5:$C$92,C92,$J$5:$J$92,"&lt;"&amp;J92)+1)</f>
        <v>9</v>
      </c>
      <c r="S92" s="23" t="n">
        <f aca="false">1000+200*(R92-1)+1</f>
        <v>2601</v>
      </c>
      <c r="T92" s="23" t="n">
        <f aca="false">1000+200*(R92-1)+Anlagen!F92</f>
        <v>2686</v>
      </c>
      <c r="U92" s="23" t="n">
        <f aca="false">100+A92</f>
        <v>188</v>
      </c>
      <c r="V92" s="23" t="n">
        <f aca="false">200+A92</f>
        <v>288</v>
      </c>
      <c r="W92" s="23" t="n">
        <f aca="false">300+A92</f>
        <v>388</v>
      </c>
      <c r="X92" s="23" t="str">
        <f aca="false">"10."&amp;A92&amp;".1.0/24"</f>
        <v>10.88.1.0/24</v>
      </c>
      <c r="Y92" s="23" t="str">
        <f aca="false">IF(R92&gt;15,"Fehler: VLAN-Block über 15",IF(COUNTIFS($C$5:$C$92,C92,$R$5:$R$92,R92)&gt;1,"Fehler: VLAN-Block am Standort doppelt",IF(COUNTIF($Q$5:$Q$92,Q92)&gt;1,"Fehler: Kürzel doppelt",IF(Anlagen!F92&gt;199,"Fehler: mehr als 199 Parzellen","OK"))))</f>
        <v>OK</v>
      </c>
    </row>
    <row r="93" customFormat="false" ht="15" hidden="false" customHeight="false" outlineLevel="0" collapsed="false">
      <c r="B93" s="32" t="s">
        <v>518</v>
      </c>
      <c r="G93" s="33" t="n">
        <f aca="false">SUM(G5:G92)</f>
        <v>56896.6491537198</v>
      </c>
      <c r="H93" s="39" t="n">
        <f aca="false">SUM(H5:H92)</f>
        <v>118165.30273939</v>
      </c>
      <c r="I93" s="39" t="n">
        <f aca="false">SUM(I5:I92)</f>
        <v>61295.472</v>
      </c>
      <c r="O93" s="33" t="n">
        <f aca="false">SUM(O5:O92)</f>
        <v>2814.81360437705</v>
      </c>
    </row>
    <row r="95" customFormat="false" ht="15" hidden="false" customHeight="false" outlineLevel="0" collapsed="false">
      <c r="B95" s="2" t="s">
        <v>519</v>
      </c>
    </row>
  </sheetData>
  <conditionalFormatting sqref="Y5:Y92">
    <cfRule type="expression" priority="2" aboveAverage="0" equalAverage="0" bottom="0" percent="0" rank="0" text="" dxfId="7">
      <formula>LEFT(Y5,6)="Fehler"</formula>
    </cfRule>
  </conditionalFormatting>
  <conditionalFormatting sqref="P5:P92">
    <cfRule type="expression" priority="3" aboveAverage="0" equalAverage="0" bottom="0" percent="0" rank="0" text="" dxfId="7">
      <formula>LEFT(P5,6)="Fehler"</formula>
    </cfRule>
  </conditionalFormatting>
  <conditionalFormatting sqref="E5:E92">
    <cfRule type="expression" priority="4" aboveAverage="0" equalAverage="0" bottom="0" percent="0" rank="0" text="" dxfId="8">
      <formula>E5="Gateway-Standort"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13"/>
  </cols>
  <sheetData>
    <row r="1" customFormat="false" ht="18.55" hidden="false" customHeight="false" outlineLevel="0" collapsed="false">
      <c r="A1" s="1" t="s">
        <v>520</v>
      </c>
    </row>
    <row r="2" customFormat="false" ht="15" hidden="false" customHeight="false" outlineLevel="0" collapsed="false">
      <c r="A2" s="2" t="s">
        <v>521</v>
      </c>
    </row>
    <row r="4" customFormat="false" ht="45.75" hidden="false" customHeight="true" outlineLevel="0" collapsed="false">
      <c r="A4" s="5" t="s">
        <v>175</v>
      </c>
      <c r="B4" s="5" t="s">
        <v>176</v>
      </c>
      <c r="C4" s="5" t="s">
        <v>522</v>
      </c>
      <c r="D4" s="5" t="s">
        <v>523</v>
      </c>
      <c r="E4" s="5" t="s">
        <v>524</v>
      </c>
      <c r="F4" s="5" t="s">
        <v>525</v>
      </c>
      <c r="G4" s="5" t="s">
        <v>526</v>
      </c>
      <c r="H4" s="5" t="s">
        <v>527</v>
      </c>
      <c r="I4" s="5" t="s">
        <v>528</v>
      </c>
      <c r="J4" s="5" t="s">
        <v>529</v>
      </c>
      <c r="K4" s="5" t="s">
        <v>530</v>
      </c>
      <c r="L4" s="5" t="s">
        <v>531</v>
      </c>
      <c r="M4" s="5" t="s">
        <v>532</v>
      </c>
      <c r="N4" s="5" t="s">
        <v>533</v>
      </c>
      <c r="O4" s="5" t="s">
        <v>534</v>
      </c>
      <c r="P4" s="5" t="s">
        <v>535</v>
      </c>
      <c r="Q4" s="5" t="s">
        <v>536</v>
      </c>
      <c r="R4" s="5" t="s">
        <v>537</v>
      </c>
    </row>
    <row r="5" customFormat="false" ht="15" hidden="false" customHeight="false" outlineLevel="0" collapsed="false">
      <c r="A5" s="23" t="n">
        <f aca="false">Anlagen!A5</f>
        <v>1</v>
      </c>
      <c r="B5" s="23" t="str">
        <f aca="false">Anlagen!B5</f>
        <v>1. März</v>
      </c>
      <c r="C5" s="23" t="n">
        <f aca="false">IF(Anlagen!X5&lt;&gt;"",Anlagen!X5,MAX(2,CEILING(Anlagen!F5/Parz_je_AP,1)))</f>
        <v>9</v>
      </c>
      <c r="D5" s="23" t="n">
        <f aca="false">IF(Anlagen!Y5&lt;&gt;"",Anlagen!Y5,CEILING(C5/AP_je_Mast,1))</f>
        <v>5</v>
      </c>
      <c r="E5" s="23" t="n">
        <f aca="false">MAX(1,CEILING(D5*Anteil_Technik,1))</f>
        <v>3</v>
      </c>
      <c r="F5" s="37" t="n">
        <f aca="false">IF(Anlagen!Z5&lt;&gt;"",Anlagen!Z5,Leitung_k*SQRT(Anlagen!H5))</f>
        <v>259.414662060571</v>
      </c>
      <c r="G5" s="37" t="n">
        <f aca="false">F5*Faser_f</f>
        <v>430.628339020547</v>
      </c>
      <c r="H5" s="37" t="n">
        <f aca="false">F5*Kupfer_f</f>
        <v>274.979541784205</v>
      </c>
      <c r="I5" s="23" t="n">
        <f aca="false">ROUND(C5*Kabel_je_AP,0)</f>
        <v>4</v>
      </c>
      <c r="J5" s="38" t="n">
        <f aca="false">E5*(2*P_SFP+P_Flex+P_NT+P_Halter+P_Luefter+P_Spleiss+P_Saeule+P_Ueber)*EK</f>
        <v>2710.344</v>
      </c>
      <c r="K5" s="38" t="n">
        <f aca="false">(C5*P_AP+D5*(P_Mast+P_Fund+P_MontMast)+I5*2*P_Surge)*EK</f>
        <v>6730.64</v>
      </c>
      <c r="L5" s="38" t="n">
        <f aca="false">(G5*P_Faser+H5*P_Kupfer+F5*P_Tiefbau)*EK</f>
        <v>1161.34237081952</v>
      </c>
      <c r="M5" s="38" t="n">
        <f aca="false">Netz!H5+Netz!I5</f>
        <v>3162.13097101481</v>
      </c>
      <c r="N5" s="38" t="n">
        <f aca="false">J5+K5+L5+M5</f>
        <v>13764.4573418343</v>
      </c>
      <c r="O5" s="38" t="n">
        <f aca="false">E5*Strom_Mast*EK+N5*Wartung</f>
        <v>591.43372025503</v>
      </c>
      <c r="P5" s="23" t="n">
        <f aca="false">CEILING(Anlagen!F5/PG,1)</f>
        <v>1</v>
      </c>
      <c r="Q5" s="38" t="n">
        <f aca="false">J5+K5+L5+(P_KVz+P_USV+P_MontStandort+P5*(P_UCG+P_DAC)+P_Agg*CEILING((P5+E5)/Ports_Agg,1))*EK</f>
        <v>13886.7263708195</v>
      </c>
      <c r="R5" s="38" t="n">
        <f aca="false">(Uplink_Monat*12*MAX(1,CEILING(Buchungsquote!V5*Bandbreite/Ueberbuchung/Uplink_Kap,1))+Strom_Standort+P5*Strom_GW+E5*Strom_Mast)*EK+Q5*Wartung</f>
        <v>1791.05179112459</v>
      </c>
    </row>
    <row r="6" customFormat="false" ht="15" hidden="false" customHeight="false" outlineLevel="0" collapsed="false">
      <c r="A6" s="23" t="n">
        <f aca="false">Anlagen!A6</f>
        <v>2</v>
      </c>
      <c r="B6" s="23" t="str">
        <f aca="false">Anlagen!B6</f>
        <v>Abendfrieden</v>
      </c>
      <c r="C6" s="23" t="n">
        <f aca="false">IF(Anlagen!X6&lt;&gt;"",Anlagen!X6,MAX(2,CEILING(Anlagen!F6/Parz_je_AP,1)))</f>
        <v>21</v>
      </c>
      <c r="D6" s="23" t="n">
        <f aca="false">IF(Anlagen!Y6&lt;&gt;"",Anlagen!Y6,CEILING(C6/AP_je_Mast,1))</f>
        <v>10</v>
      </c>
      <c r="E6" s="23" t="n">
        <f aca="false">MAX(1,CEILING(D6*Anteil_Technik,1))</f>
        <v>5</v>
      </c>
      <c r="F6" s="37" t="n">
        <f aca="false">IF(Anlagen!Z6&lt;&gt;"",Anlagen!Z6,Leitung_k*SQRT(Anlagen!H6))</f>
        <v>522.903200766643</v>
      </c>
      <c r="G6" s="37" t="n">
        <f aca="false">F6*Faser_f</f>
        <v>868.019313272627</v>
      </c>
      <c r="H6" s="37" t="n">
        <f aca="false">F6*Kupfer_f</f>
        <v>554.277392812641</v>
      </c>
      <c r="I6" s="23" t="n">
        <f aca="false">ROUND(C6*Kabel_je_AP,0)</f>
        <v>9</v>
      </c>
      <c r="J6" s="38" t="n">
        <f aca="false">E6*(2*P_SFP+P_Flex+P_NT+P_Halter+P_Luefter+P_Spleiss+P_Saeule+P_Ueber)*EK</f>
        <v>4517.24</v>
      </c>
      <c r="K6" s="38" t="n">
        <f aca="false">(C6*P_AP+D6*(P_Mast+P_Fund+P_MontMast)+I6*2*P_Surge)*EK</f>
        <v>14382.34</v>
      </c>
      <c r="L6" s="38" t="n">
        <f aca="false">(G6*P_Faser+H6*P_Kupfer+F6*P_Tiefbau)*EK</f>
        <v>2340.92259112809</v>
      </c>
      <c r="M6" s="38" t="n">
        <f aca="false">Netz!H6+Netz!I6</f>
        <v>2185.10110655412</v>
      </c>
      <c r="N6" s="38" t="n">
        <f aca="false">J6+K6+L6+M6</f>
        <v>23425.6036976822</v>
      </c>
      <c r="O6" s="38" t="n">
        <f aca="false">E6*Strom_Mast*EK+N6*Wartung</f>
        <v>1000.26811093047</v>
      </c>
      <c r="P6" s="23" t="n">
        <f aca="false">CEILING(Anlagen!F6/PG,1)</f>
        <v>2</v>
      </c>
      <c r="Q6" s="38" t="n">
        <f aca="false">J6+K6+L6+(P_KVz+P_USV+P_MontStandort+P6*(P_UCG+P_DAC)+P_Agg*CEILING((P6+E6)/Ports_Agg,1))*EK</f>
        <v>24846.2025911281</v>
      </c>
      <c r="R6" s="38" t="n">
        <f aca="false">(Uplink_Monat*12*MAX(1,CEILING(Buchungsquote!V6*Bandbreite/Ueberbuchung/Uplink_Kap,1))+Strom_Standort+P6*Strom_GW+E6*Strom_Mast)*EK+Q6*Wartung</f>
        <v>2268.58607773384</v>
      </c>
    </row>
    <row r="7" customFormat="false" ht="15" hidden="false" customHeight="false" outlineLevel="0" collapsed="false">
      <c r="A7" s="23" t="n">
        <f aca="false">Anlagen!A7</f>
        <v>3</v>
      </c>
      <c r="B7" s="23" t="str">
        <f aca="false">Anlagen!B7</f>
        <v>Abendrot</v>
      </c>
      <c r="C7" s="23" t="n">
        <f aca="false">IF(Anlagen!X7&lt;&gt;"",Anlagen!X7,MAX(2,CEILING(Anlagen!F7/Parz_je_AP,1)))</f>
        <v>39</v>
      </c>
      <c r="D7" s="23" t="n">
        <f aca="false">IF(Anlagen!Y7&lt;&gt;"",Anlagen!Y7,CEILING(C7/AP_je_Mast,1))</f>
        <v>18</v>
      </c>
      <c r="E7" s="23" t="n">
        <f aca="false">MAX(1,CEILING(D7*Anteil_Technik,1))</f>
        <v>9</v>
      </c>
      <c r="F7" s="37" t="n">
        <f aca="false">IF(Anlagen!Z7&lt;&gt;"",Anlagen!Z7,Leitung_k*SQRT(Anlagen!H7))</f>
        <v>713.265109551841</v>
      </c>
      <c r="G7" s="37" t="n">
        <f aca="false">F7*Faser_f</f>
        <v>1184.02008185606</v>
      </c>
      <c r="H7" s="37" t="n">
        <f aca="false">F7*Kupfer_f</f>
        <v>756.061016124952</v>
      </c>
      <c r="I7" s="23" t="n">
        <f aca="false">ROUND(C7*Kabel_je_AP,0)</f>
        <v>16</v>
      </c>
      <c r="J7" s="38" t="n">
        <f aca="false">E7*(2*P_SFP+P_Flex+P_NT+P_Halter+P_Luefter+P_Spleiss+P_Saeule+P_Ueber)*EK</f>
        <v>8131.032</v>
      </c>
      <c r="K7" s="38" t="n">
        <f aca="false">(C7*P_AP+D7*(P_Mast+P_Fund+P_MontMast)+I7*2*P_Surge)*EK</f>
        <v>26239.5</v>
      </c>
      <c r="L7" s="38" t="n">
        <f aca="false">(G7*P_Faser+H7*P_Kupfer+F7*P_Tiefbau)*EK</f>
        <v>3193.13097713949</v>
      </c>
      <c r="M7" s="38" t="n">
        <f aca="false">Netz!H7+Netz!I7</f>
        <v>3836.99821086731</v>
      </c>
      <c r="N7" s="38" t="n">
        <f aca="false">J7+K7+L7+M7</f>
        <v>41400.6611880068</v>
      </c>
      <c r="O7" s="38" t="n">
        <f aca="false">E7*Strom_Mast*EK+N7*Wartung</f>
        <v>1777.5198356402</v>
      </c>
      <c r="P7" s="23" t="n">
        <f aca="false">CEILING(Anlagen!F7/PG,1)</f>
        <v>3</v>
      </c>
      <c r="Q7" s="38" t="n">
        <f aca="false">J7+K7+L7+(P_KVz+P_USV+P_MontStandort+P7*(P_UCG+P_DAC)+P_Agg*CEILING((P7+E7)/Ports_Agg,1))*EK</f>
        <v>41776.2629771395</v>
      </c>
      <c r="R7" s="38" t="n">
        <f aca="false">(Uplink_Monat*12*MAX(1,CEILING(Buchungsquote!V7*Bandbreite/Ueberbuchung/Uplink_Kap,1))+Strom_Standort+P7*Strom_GW+E7*Strom_Mast)*EK+Q7*Wartung</f>
        <v>3044.23788931418</v>
      </c>
    </row>
    <row r="8" customFormat="false" ht="15" hidden="false" customHeight="false" outlineLevel="0" collapsed="false">
      <c r="A8" s="23" t="n">
        <f aca="false">Anlagen!A8</f>
        <v>4</v>
      </c>
      <c r="B8" s="23" t="str">
        <f aca="false">Anlagen!B8</f>
        <v>Abendruh</v>
      </c>
      <c r="C8" s="23" t="n">
        <f aca="false">IF(Anlagen!X8&lt;&gt;"",Anlagen!X8,MAX(2,CEILING(Anlagen!F8/Parz_je_AP,1)))</f>
        <v>40</v>
      </c>
      <c r="D8" s="23" t="n">
        <f aca="false">IF(Anlagen!Y8&lt;&gt;"",Anlagen!Y8,CEILING(C8/AP_je_Mast,1))</f>
        <v>19</v>
      </c>
      <c r="E8" s="23" t="n">
        <f aca="false">MAX(1,CEILING(D8*Anteil_Technik,1))</f>
        <v>10</v>
      </c>
      <c r="F8" s="37" t="n">
        <f aca="false">IF(Anlagen!Z8&lt;&gt;"",Anlagen!Z8,Leitung_k*SQRT(Anlagen!H8))</f>
        <v>773.428485035301</v>
      </c>
      <c r="G8" s="37" t="n">
        <f aca="false">F8*Faser_f</f>
        <v>1283.8912851586</v>
      </c>
      <c r="H8" s="37" t="n">
        <f aca="false">F8*Kupfer_f</f>
        <v>819.834194137419</v>
      </c>
      <c r="I8" s="23" t="n">
        <f aca="false">ROUND(C8*Kabel_je_AP,0)</f>
        <v>17</v>
      </c>
      <c r="J8" s="38" t="n">
        <f aca="false">E8*(2*P_SFP+P_Flex+P_NT+P_Halter+P_Luefter+P_Spleiss+P_Saeule+P_Ueber)*EK</f>
        <v>9034.48</v>
      </c>
      <c r="K8" s="38" t="n">
        <f aca="false">(C8*P_AP+D8*(P_Mast+P_Fund+P_MontMast)+I8*2*P_Surge)*EK</f>
        <v>27353.34</v>
      </c>
      <c r="L8" s="38" t="n">
        <f aca="false">(G8*P_Faser+H8*P_Kupfer+F8*P_Tiefbau)*EK</f>
        <v>3462.46917323633</v>
      </c>
      <c r="M8" s="38" t="n">
        <f aca="false">Netz!H8+Netz!I8</f>
        <v>3022.58535480125</v>
      </c>
      <c r="N8" s="38" t="n">
        <f aca="false">J8+K8+L8+M8</f>
        <v>42872.8745280376</v>
      </c>
      <c r="O8" s="38" t="n">
        <f aca="false">E8*Strom_Mast*EK+N8*Wartung</f>
        <v>1881.18623584113</v>
      </c>
      <c r="P8" s="23" t="n">
        <f aca="false">CEILING(Anlagen!F8/PG,1)</f>
        <v>3</v>
      </c>
      <c r="Q8" s="38" t="n">
        <f aca="false">J8+K8+L8+(P_KVz+P_USV+P_MontStandort+P8*(P_UCG+P_DAC)+P_Agg*CEILING((P8+E8)/Ports_Agg,1))*EK</f>
        <v>44062.8891732363</v>
      </c>
      <c r="R8" s="38" t="n">
        <f aca="false">(Uplink_Monat*12*MAX(1,CEILING(Buchungsquote!V8*Bandbreite/Ueberbuchung/Uplink_Kap,1))+Strom_Standort+P8*Strom_GW+E8*Strom_Mast)*EK+Q8*Wartung</f>
        <v>3172.33667519709</v>
      </c>
    </row>
    <row r="9" customFormat="false" ht="15" hidden="false" customHeight="false" outlineLevel="0" collapsed="false">
      <c r="A9" s="23" t="n">
        <f aca="false">Anlagen!A9</f>
        <v>5</v>
      </c>
      <c r="B9" s="23" t="str">
        <f aca="false">Anlagen!B9</f>
        <v>Abendsonne</v>
      </c>
      <c r="C9" s="23" t="n">
        <f aca="false">IF(Anlagen!X9&lt;&gt;"",Anlagen!X9,MAX(2,CEILING(Anlagen!F9/Parz_je_AP,1)))</f>
        <v>19</v>
      </c>
      <c r="D9" s="23" t="n">
        <f aca="false">IF(Anlagen!Y9&lt;&gt;"",Anlagen!Y9,CEILING(C9/AP_je_Mast,1))</f>
        <v>9</v>
      </c>
      <c r="E9" s="23" t="n">
        <f aca="false">MAX(1,CEILING(D9*Anteil_Technik,1))</f>
        <v>5</v>
      </c>
      <c r="F9" s="37" t="n">
        <f aca="false">IF(Anlagen!Z9&lt;&gt;"",Anlagen!Z9,Leitung_k*SQRT(Anlagen!H9))</f>
        <v>366.212563940671</v>
      </c>
      <c r="G9" s="37" t="n">
        <f aca="false">F9*Faser_f</f>
        <v>607.912856141514</v>
      </c>
      <c r="H9" s="37" t="n">
        <f aca="false">F9*Kupfer_f</f>
        <v>388.185317777111</v>
      </c>
      <c r="I9" s="23" t="n">
        <f aca="false">ROUND(C9*Kabel_je_AP,0)</f>
        <v>8</v>
      </c>
      <c r="J9" s="38" t="n">
        <f aca="false">E9*(2*P_SFP+P_Flex+P_NT+P_Halter+P_Luefter+P_Spleiss+P_Saeule+P_Ueber)*EK</f>
        <v>4517.24</v>
      </c>
      <c r="K9" s="38" t="n">
        <f aca="false">(C9*P_AP+D9*(P_Mast+P_Fund+P_MontMast)+I9*2*P_Surge)*EK</f>
        <v>12971</v>
      </c>
      <c r="L9" s="38" t="n">
        <f aca="false">(G9*P_Faser+H9*P_Kupfer+F9*P_Tiefbau)*EK</f>
        <v>1639.45308199832</v>
      </c>
      <c r="M9" s="38" t="n">
        <f aca="false">Netz!H9+Netz!I9</f>
        <v>2050.18340294961</v>
      </c>
      <c r="N9" s="38" t="n">
        <f aca="false">J9+K9+L9+M9</f>
        <v>21177.8764849479</v>
      </c>
      <c r="O9" s="38" t="n">
        <f aca="false">E9*Strom_Mast*EK+N9*Wartung</f>
        <v>932.836294548438</v>
      </c>
      <c r="P9" s="23" t="n">
        <f aca="false">CEILING(Anlagen!F9/PG,1)</f>
        <v>2</v>
      </c>
      <c r="Q9" s="38" t="n">
        <f aca="false">J9+K9+L9+(P_KVz+P_USV+P_MontStandort+P9*(P_UCG+P_DAC)+P_Agg*CEILING((P9+E9)/Ports_Agg,1))*EK</f>
        <v>22733.3930819983</v>
      </c>
      <c r="R9" s="38" t="n">
        <f aca="false">(Uplink_Monat*12*MAX(1,CEILING(Buchungsquote!V9*Bandbreite/Ueberbuchung/Uplink_Kap,1))+Strom_Standort+P9*Strom_GW+E9*Strom_Mast)*EK+Q9*Wartung</f>
        <v>2205.20179245995</v>
      </c>
    </row>
    <row r="10" customFormat="false" ht="15" hidden="false" customHeight="false" outlineLevel="0" collapsed="false">
      <c r="A10" s="23" t="n">
        <f aca="false">Anlagen!A10</f>
        <v>6</v>
      </c>
      <c r="B10" s="23" t="str">
        <f aca="false">Anlagen!B10</f>
        <v>Altstadt Forst</v>
      </c>
      <c r="C10" s="23" t="n">
        <f aca="false">IF(Anlagen!X10&lt;&gt;"",Anlagen!X10,MAX(2,CEILING(Anlagen!F10/Parz_je_AP,1)))</f>
        <v>25</v>
      </c>
      <c r="D10" s="23" t="n">
        <f aca="false">IF(Anlagen!Y10&lt;&gt;"",Anlagen!Y10,CEILING(C10/AP_je_Mast,1))</f>
        <v>12</v>
      </c>
      <c r="E10" s="23" t="n">
        <f aca="false">MAX(1,CEILING(D10*Anteil_Technik,1))</f>
        <v>6</v>
      </c>
      <c r="F10" s="37" t="n">
        <f aca="false">IF(Anlagen!Z10&lt;&gt;"",Anlagen!Z10,Leitung_k*SQRT(Anlagen!H10))</f>
        <v>605.400596435121</v>
      </c>
      <c r="G10" s="37" t="n">
        <f aca="false">F10*Faser_f</f>
        <v>1004.9649900823</v>
      </c>
      <c r="H10" s="37" t="n">
        <f aca="false">F10*Kupfer_f</f>
        <v>641.724632221228</v>
      </c>
      <c r="I10" s="23" t="n">
        <f aca="false">ROUND(C10*Kabel_je_AP,0)</f>
        <v>11</v>
      </c>
      <c r="J10" s="38" t="n">
        <f aca="false">E10*(2*P_SFP+P_Flex+P_NT+P_Halter+P_Luefter+P_Spleiss+P_Saeule+P_Ueber)*EK</f>
        <v>5420.688</v>
      </c>
      <c r="K10" s="38" t="n">
        <f aca="false">(C10*P_AP+D10*(P_Mast+P_Fund+P_MontMast)+I10*2*P_Surge)*EK</f>
        <v>17205.02</v>
      </c>
      <c r="L10" s="38" t="n">
        <f aca="false">(G10*P_Faser+H10*P_Kupfer+F10*P_Tiefbau)*EK</f>
        <v>2710.24528210882</v>
      </c>
      <c r="M10" s="38" t="n">
        <f aca="false">Netz!H10+Netz!I10</f>
        <v>2133.3675486698</v>
      </c>
      <c r="N10" s="38" t="n">
        <f aca="false">J10+K10+L10+M10</f>
        <v>27469.3208307786</v>
      </c>
      <c r="O10" s="38" t="n">
        <f aca="false">E10*Strom_Mast*EK+N10*Wartung</f>
        <v>1181.07962492336</v>
      </c>
      <c r="P10" s="23" t="n">
        <f aca="false">CEILING(Anlagen!F10/PG,1)</f>
        <v>2</v>
      </c>
      <c r="Q10" s="38" t="n">
        <f aca="false">J10+K10+L10+(P_KVz+P_USV+P_MontStandort+P10*(P_UCG+P_DAC)+P_Agg*CEILING((P10+E10)/Ports_Agg,1))*EK</f>
        <v>28941.6532821088</v>
      </c>
      <c r="R10" s="38" t="n">
        <f aca="false">(Uplink_Monat*12*MAX(1,CEILING(Buchungsquote!V10*Bandbreite/Ueberbuchung/Uplink_Kap,1))+Strom_Standort+P10*Strom_GW+E10*Strom_Mast)*EK+Q10*Wartung</f>
        <v>2450.94959846326</v>
      </c>
    </row>
    <row r="11" customFormat="false" ht="15" hidden="false" customHeight="false" outlineLevel="0" collapsed="false">
      <c r="A11" s="23" t="n">
        <f aca="false">Anlagen!A11</f>
        <v>7</v>
      </c>
      <c r="B11" s="23" t="str">
        <f aca="false">Anlagen!B11</f>
        <v>Am Beetzseeufer</v>
      </c>
      <c r="C11" s="23" t="n">
        <f aca="false">IF(Anlagen!X11&lt;&gt;"",Anlagen!X11,MAX(2,CEILING(Anlagen!F11/Parz_je_AP,1)))</f>
        <v>22</v>
      </c>
      <c r="D11" s="23" t="n">
        <f aca="false">IF(Anlagen!Y11&lt;&gt;"",Anlagen!Y11,CEILING(C11/AP_je_Mast,1))</f>
        <v>10</v>
      </c>
      <c r="E11" s="23" t="n">
        <f aca="false">MAX(1,CEILING(D11*Anteil_Technik,1))</f>
        <v>5</v>
      </c>
      <c r="F11" s="37" t="n">
        <f aca="false">IF(Anlagen!Z11&lt;&gt;"",Anlagen!Z11,Leitung_k*SQRT(Anlagen!H11))</f>
        <v>551.341513992915</v>
      </c>
      <c r="G11" s="37" t="n">
        <f aca="false">F11*Faser_f</f>
        <v>915.226913228239</v>
      </c>
      <c r="H11" s="37" t="n">
        <f aca="false">F11*Kupfer_f</f>
        <v>584.42200483249</v>
      </c>
      <c r="I11" s="23" t="n">
        <f aca="false">ROUND(C11*Kabel_je_AP,0)</f>
        <v>9</v>
      </c>
      <c r="J11" s="38" t="n">
        <f aca="false">E11*(2*P_SFP+P_Flex+P_NT+P_Halter+P_Luefter+P_Spleiss+P_Saeule+P_Ueber)*EK</f>
        <v>4517.24</v>
      </c>
      <c r="K11" s="38" t="n">
        <f aca="false">(C11*P_AP+D11*(P_Mast+P_Fund+P_MontMast)+I11*2*P_Surge)*EK</f>
        <v>14679.84</v>
      </c>
      <c r="L11" s="38" t="n">
        <f aca="false">(G11*P_Faser+H11*P_Kupfer+F11*P_Tiefbau)*EK</f>
        <v>2468.2346630132</v>
      </c>
      <c r="M11" s="38" t="n">
        <f aca="false">Netz!H11+Netz!I11</f>
        <v>3246.98817921724</v>
      </c>
      <c r="N11" s="38" t="n">
        <f aca="false">J11+K11+L11+M11</f>
        <v>24912.3028422304</v>
      </c>
      <c r="O11" s="38" t="n">
        <f aca="false">E11*Strom_Mast*EK+N11*Wartung</f>
        <v>1044.86908526691</v>
      </c>
      <c r="P11" s="23" t="n">
        <f aca="false">CEILING(Anlagen!F11/PG,1)</f>
        <v>2</v>
      </c>
      <c r="Q11" s="38" t="n">
        <f aca="false">J11+K11+L11+(P_KVz+P_USV+P_MontStandort+P11*(P_UCG+P_DAC)+P_Agg*CEILING((P11+E11)/Ports_Agg,1))*EK</f>
        <v>25271.0146630132</v>
      </c>
      <c r="R11" s="38" t="n">
        <f aca="false">(Uplink_Monat*12*MAX(1,CEILING(Buchungsquote!V11*Bandbreite/Ueberbuchung/Uplink_Kap,1))+Strom_Standort+P11*Strom_GW+E11*Strom_Mast)*EK+Q11*Wartung</f>
        <v>2281.3304398904</v>
      </c>
    </row>
    <row r="12" customFormat="false" ht="15" hidden="false" customHeight="false" outlineLevel="0" collapsed="false">
      <c r="A12" s="23" t="n">
        <f aca="false">Anlagen!A12</f>
        <v>8</v>
      </c>
      <c r="B12" s="23" t="str">
        <f aca="false">Anlagen!B12</f>
        <v>Am Büttelhandfassgraben</v>
      </c>
      <c r="C12" s="23" t="n">
        <f aca="false">IF(Anlagen!X12&lt;&gt;"",Anlagen!X12,MAX(2,CEILING(Anlagen!F12/Parz_je_AP,1)))</f>
        <v>2</v>
      </c>
      <c r="D12" s="23" t="n">
        <f aca="false">IF(Anlagen!Y12&lt;&gt;"",Anlagen!Y12,CEILING(C12/AP_je_Mast,1))</f>
        <v>1</v>
      </c>
      <c r="E12" s="23" t="n">
        <f aca="false">MAX(1,CEILING(D12*Anteil_Technik,1))</f>
        <v>1</v>
      </c>
      <c r="F12" s="37" t="n">
        <f aca="false">IF(Anlagen!Z12&lt;&gt;"",Anlagen!Z12,Leitung_k*SQRT(Anlagen!H12))</f>
        <v>135.881111343704</v>
      </c>
      <c r="G12" s="37" t="n">
        <f aca="false">F12*Faser_f</f>
        <v>225.562644830548</v>
      </c>
      <c r="H12" s="37" t="n">
        <f aca="false">F12*Kupfer_f</f>
        <v>144.033978024326</v>
      </c>
      <c r="I12" s="23" t="n">
        <f aca="false">ROUND(C12*Kabel_je_AP,0)</f>
        <v>1</v>
      </c>
      <c r="J12" s="38" t="n">
        <f aca="false">E12*(2*P_SFP+P_Flex+P_NT+P_Halter+P_Luefter+P_Spleiss+P_Saeule+P_Ueber)*EK</f>
        <v>903.448</v>
      </c>
      <c r="K12" s="38" t="n">
        <f aca="false">(C12*P_AP+D12*(P_Mast+P_Fund+P_MontMast)+I12*2*P_Surge)*EK</f>
        <v>1411.34</v>
      </c>
      <c r="L12" s="38" t="n">
        <f aca="false">(G12*P_Faser+H12*P_Kupfer+F12*P_Tiefbau)*EK</f>
        <v>608.309841641266</v>
      </c>
      <c r="M12" s="38" t="n">
        <f aca="false">Netz!H12+Netz!I12</f>
        <v>1237.61187225365</v>
      </c>
      <c r="N12" s="38" t="n">
        <f aca="false">J12+K12+L12+M12</f>
        <v>4160.70971389491</v>
      </c>
      <c r="O12" s="38" t="n">
        <f aca="false">E12*Strom_Mast*EK+N12*Wartung</f>
        <v>184.321291416847</v>
      </c>
      <c r="P12" s="23" t="n">
        <f aca="false">CEILING(Anlagen!F12/PG,1)</f>
        <v>1</v>
      </c>
      <c r="Q12" s="38" t="n">
        <f aca="false">J12+K12+L12+(P_KVz+P_USV+P_MontStandort+P12*(P_UCG+P_DAC)+P_Agg*CEILING((P12+E12)/Ports_Agg,1))*EK</f>
        <v>6207.49784164127</v>
      </c>
      <c r="R12" s="38" t="n">
        <f aca="false">(Uplink_Monat*12*MAX(1,CEILING(Buchungsquote!V12*Bandbreite/Ueberbuchung/Uplink_Kap,1))+Strom_Standort+P12*Strom_GW+E12*Strom_Mast)*EK+Q12*Wartung</f>
        <v>1441.67493524924</v>
      </c>
    </row>
    <row r="13" customFormat="false" ht="15" hidden="false" customHeight="false" outlineLevel="0" collapsed="false">
      <c r="A13" s="23" t="n">
        <f aca="false">Anlagen!A13</f>
        <v>9</v>
      </c>
      <c r="B13" s="23" t="str">
        <f aca="false">Anlagen!B13</f>
        <v>Am Eichenweg</v>
      </c>
      <c r="C13" s="23" t="n">
        <f aca="false">IF(Anlagen!X13&lt;&gt;"",Anlagen!X13,MAX(2,CEILING(Anlagen!F13/Parz_je_AP,1)))</f>
        <v>15</v>
      </c>
      <c r="D13" s="23" t="n">
        <f aca="false">IF(Anlagen!Y13&lt;&gt;"",Anlagen!Y13,CEILING(C13/AP_je_Mast,1))</f>
        <v>7</v>
      </c>
      <c r="E13" s="23" t="n">
        <f aca="false">MAX(1,CEILING(D13*Anteil_Technik,1))</f>
        <v>4</v>
      </c>
      <c r="F13" s="37" t="n">
        <f aca="false">IF(Anlagen!Z13&lt;&gt;"",Anlagen!Z13,Leitung_k*SQRT(Anlagen!H13))</f>
        <v>515.441654843688</v>
      </c>
      <c r="G13" s="37" t="n">
        <f aca="false">F13*Faser_f</f>
        <v>855.633147040523</v>
      </c>
      <c r="H13" s="37" t="n">
        <f aca="false">F13*Kupfer_f</f>
        <v>546.36815413431</v>
      </c>
      <c r="I13" s="23" t="n">
        <f aca="false">ROUND(C13*Kabel_je_AP,0)</f>
        <v>6</v>
      </c>
      <c r="J13" s="38" t="n">
        <f aca="false">E13*(2*P_SFP+P_Flex+P_NT+P_Halter+P_Luefter+P_Spleiss+P_Saeule+P_Ueber)*EK</f>
        <v>3613.792</v>
      </c>
      <c r="K13" s="38" t="n">
        <f aca="false">(C13*P_AP+D13*(P_Mast+P_Fund+P_MontMast)+I13*2*P_Surge)*EK</f>
        <v>10148.32</v>
      </c>
      <c r="L13" s="38" t="n">
        <f aca="false">(G13*P_Faser+H13*P_Kupfer+F13*P_Tiefbau)*EK</f>
        <v>2307.51889157113</v>
      </c>
      <c r="M13" s="38" t="n">
        <f aca="false">Netz!H13+Netz!I13</f>
        <v>4282.55603654556</v>
      </c>
      <c r="N13" s="38" t="n">
        <f aca="false">J13+K13+L13+M13</f>
        <v>20352.1869281167</v>
      </c>
      <c r="O13" s="38" t="n">
        <f aca="false">E13*Strom_Mast*EK+N13*Wartung</f>
        <v>848.565607843501</v>
      </c>
      <c r="P13" s="23" t="n">
        <f aca="false">CEILING(Anlagen!F13/PG,1)</f>
        <v>1</v>
      </c>
      <c r="Q13" s="38" t="n">
        <f aca="false">J13+K13+L13+(P_KVz+P_USV+P_MontStandort+P13*(P_UCG+P_DAC)+P_Agg*CEILING((P13+E13)/Ports_Agg,1))*EK</f>
        <v>19354.0308915711</v>
      </c>
      <c r="R13" s="38" t="n">
        <f aca="false">(Uplink_Monat*12*MAX(1,CEILING(Buchungsquote!V13*Bandbreite/Ueberbuchung/Uplink_Kap,1))+Strom_Standort+P13*Strom_GW+E13*Strom_Mast)*EK+Q13*Wartung</f>
        <v>2014.57092674713</v>
      </c>
    </row>
    <row r="14" customFormat="false" ht="15" hidden="false" customHeight="false" outlineLevel="0" collapsed="false">
      <c r="A14" s="23" t="n">
        <f aca="false">Anlagen!A14</f>
        <v>10</v>
      </c>
      <c r="B14" s="23" t="str">
        <f aca="false">Anlagen!B14</f>
        <v>Am Jakobsgraben</v>
      </c>
      <c r="C14" s="23" t="n">
        <f aca="false">IF(Anlagen!X14&lt;&gt;"",Anlagen!X14,MAX(2,CEILING(Anlagen!F14/Parz_je_AP,1)))</f>
        <v>12</v>
      </c>
      <c r="D14" s="23" t="n">
        <f aca="false">IF(Anlagen!Y14&lt;&gt;"",Anlagen!Y14,CEILING(C14/AP_je_Mast,1))</f>
        <v>6</v>
      </c>
      <c r="E14" s="23" t="n">
        <f aca="false">MAX(1,CEILING(D14*Anteil_Technik,1))</f>
        <v>3</v>
      </c>
      <c r="F14" s="37" t="n">
        <f aca="false">IF(Anlagen!Z14&lt;&gt;"",Anlagen!Z14,Leitung_k*SQRT(Anlagen!H14))</f>
        <v>415.875327924127</v>
      </c>
      <c r="G14" s="37" t="n">
        <f aca="false">F14*Faser_f</f>
        <v>690.353044354051</v>
      </c>
      <c r="H14" s="37" t="n">
        <f aca="false">F14*Kupfer_f</f>
        <v>440.827847599575</v>
      </c>
      <c r="I14" s="23" t="n">
        <f aca="false">ROUND(C14*Kabel_je_AP,0)</f>
        <v>5</v>
      </c>
      <c r="J14" s="38" t="n">
        <f aca="false">E14*(2*P_SFP+P_Flex+P_NT+P_Halter+P_Luefter+P_Spleiss+P_Saeule+P_Ueber)*EK</f>
        <v>2710.344</v>
      </c>
      <c r="K14" s="38" t="n">
        <f aca="false">(C14*P_AP+D14*(P_Mast+P_Fund+P_MontMast)+I14*2*P_Surge)*EK</f>
        <v>8439.48</v>
      </c>
      <c r="L14" s="38" t="n">
        <f aca="false">(G14*P_Faser+H14*P_Kupfer+F14*P_Tiefbau)*EK</f>
        <v>1861.78235054417</v>
      </c>
      <c r="M14" s="38" t="n">
        <f aca="false">Netz!H14+Netz!I14</f>
        <v>3684.63470310124</v>
      </c>
      <c r="N14" s="38" t="n">
        <f aca="false">J14+K14+L14+M14</f>
        <v>16696.2410536454</v>
      </c>
      <c r="O14" s="38" t="n">
        <f aca="false">E14*Strom_Mast*EK+N14*Wartung</f>
        <v>679.387231609363</v>
      </c>
      <c r="P14" s="23" t="n">
        <f aca="false">CEILING(Anlagen!F14/PG,1)</f>
        <v>1</v>
      </c>
      <c r="Q14" s="38" t="n">
        <f aca="false">J14+K14+L14+(P_KVz+P_USV+P_MontStandort+P14*(P_UCG+P_DAC)+P_Agg*CEILING((P14+E14)/Ports_Agg,1))*EK</f>
        <v>16296.0063505442</v>
      </c>
      <c r="R14" s="38" t="n">
        <f aca="false">(Uplink_Monat*12*MAX(1,CEILING(Buchungsquote!V14*Bandbreite/Ueberbuchung/Uplink_Kap,1))+Strom_Standort+P14*Strom_GW+E14*Strom_Mast)*EK+Q14*Wartung</f>
        <v>1863.33019051633</v>
      </c>
    </row>
    <row r="15" customFormat="false" ht="15" hidden="false" customHeight="false" outlineLevel="0" collapsed="false">
      <c r="A15" s="23" t="n">
        <f aca="false">Anlagen!A15</f>
        <v>11</v>
      </c>
      <c r="B15" s="23" t="str">
        <f aca="false">Anlagen!B15</f>
        <v>Am Schafdamm</v>
      </c>
      <c r="C15" s="23" t="n">
        <f aca="false">IF(Anlagen!X15&lt;&gt;"",Anlagen!X15,MAX(2,CEILING(Anlagen!F15/Parz_je_AP,1)))</f>
        <v>3</v>
      </c>
      <c r="D15" s="23" t="n">
        <f aca="false">IF(Anlagen!Y15&lt;&gt;"",Anlagen!Y15,CEILING(C15/AP_je_Mast,1))</f>
        <v>2</v>
      </c>
      <c r="E15" s="23" t="n">
        <f aca="false">MAX(1,CEILING(D15*Anteil_Technik,1))</f>
        <v>1</v>
      </c>
      <c r="F15" s="37" t="n">
        <f aca="false">IF(Anlagen!Z15&lt;&gt;"",Anlagen!Z15,Leitung_k*SQRT(Anlagen!H15))</f>
        <v>219.568379390112</v>
      </c>
      <c r="G15" s="37" t="n">
        <f aca="false">F15*Faser_f</f>
        <v>364.483509787585</v>
      </c>
      <c r="H15" s="37" t="n">
        <f aca="false">F15*Kupfer_f</f>
        <v>232.742482153518</v>
      </c>
      <c r="I15" s="23" t="n">
        <f aca="false">ROUND(C15*Kabel_je_AP,0)</f>
        <v>1</v>
      </c>
      <c r="J15" s="38" t="n">
        <f aca="false">E15*(2*P_SFP+P_Flex+P_NT+P_Halter+P_Luefter+P_Spleiss+P_Saeule+P_Ueber)*EK</f>
        <v>903.448</v>
      </c>
      <c r="K15" s="38" t="n">
        <f aca="false">(C15*P_AP+D15*(P_Mast+P_Fund+P_MontMast)+I15*2*P_Surge)*EK</f>
        <v>2496.62</v>
      </c>
      <c r="L15" s="38" t="n">
        <f aca="false">(G15*P_Faser+H15*P_Kupfer+F15*P_Tiefbau)*EK</f>
        <v>982.959329486064</v>
      </c>
      <c r="M15" s="38" t="n">
        <f aca="false">Netz!H15+Netz!I15</f>
        <v>1847.36132833966</v>
      </c>
      <c r="N15" s="38" t="n">
        <f aca="false">J15+K15+L15+M15</f>
        <v>6230.38865782573</v>
      </c>
      <c r="O15" s="38" t="n">
        <f aca="false">E15*Strom_Mast*EK+N15*Wartung</f>
        <v>246.411659734772</v>
      </c>
      <c r="P15" s="23" t="n">
        <f aca="false">CEILING(Anlagen!F15/PG,1)</f>
        <v>1</v>
      </c>
      <c r="Q15" s="38" t="n">
        <f aca="false">J15+K15+L15+(P_KVz+P_USV+P_MontStandort+P15*(P_UCG+P_DAC)+P_Agg*CEILING((P15+E15)/Ports_Agg,1))*EK</f>
        <v>7667.42732948606</v>
      </c>
      <c r="R15" s="38" t="n">
        <f aca="false">(Uplink_Monat*12*MAX(1,CEILING(Buchungsquote!V15*Bandbreite/Ueberbuchung/Uplink_Kap,1))+Strom_Standort+P15*Strom_GW+E15*Strom_Mast)*EK+Q15*Wartung</f>
        <v>1485.47281988458</v>
      </c>
    </row>
    <row r="16" customFormat="false" ht="15" hidden="false" customHeight="false" outlineLevel="0" collapsed="false">
      <c r="A16" s="23" t="n">
        <f aca="false">Anlagen!A16</f>
        <v>12</v>
      </c>
      <c r="B16" s="23" t="str">
        <f aca="false">Anlagen!B16</f>
        <v>Am Schlangenpfad</v>
      </c>
      <c r="C16" s="23" t="n">
        <f aca="false">IF(Anlagen!X16&lt;&gt;"",Anlagen!X16,MAX(2,CEILING(Anlagen!F16/Parz_je_AP,1)))</f>
        <v>6</v>
      </c>
      <c r="D16" s="23" t="n">
        <f aca="false">IF(Anlagen!Y16&lt;&gt;"",Anlagen!Y16,CEILING(C16/AP_je_Mast,1))</f>
        <v>3</v>
      </c>
      <c r="E16" s="23" t="n">
        <f aca="false">MAX(1,CEILING(D16*Anteil_Technik,1))</f>
        <v>2</v>
      </c>
      <c r="F16" s="37" t="n">
        <f aca="false">IF(Anlagen!Z16&lt;&gt;"",Anlagen!Z16,Leitung_k*SQRT(Anlagen!H16))</f>
        <v>294.576547532216</v>
      </c>
      <c r="G16" s="37" t="n">
        <f aca="false">F16*Faser_f</f>
        <v>488.997068903479</v>
      </c>
      <c r="H16" s="37" t="n">
        <f aca="false">F16*Kupfer_f</f>
        <v>312.251140384149</v>
      </c>
      <c r="I16" s="23" t="n">
        <f aca="false">ROUND(C16*Kabel_je_AP,0)</f>
        <v>3</v>
      </c>
      <c r="J16" s="38" t="n">
        <f aca="false">E16*(2*P_SFP+P_Flex+P_NT+P_Halter+P_Luefter+P_Spleiss+P_Saeule+P_Ueber)*EK</f>
        <v>1806.896</v>
      </c>
      <c r="K16" s="38" t="n">
        <f aca="false">(C16*P_AP+D16*(P_Mast+P_Fund+P_MontMast)+I16*2*P_Surge)*EK</f>
        <v>4234.02</v>
      </c>
      <c r="L16" s="38" t="n">
        <f aca="false">(G16*P_Faser+H16*P_Kupfer+F16*P_Tiefbau)*EK</f>
        <v>1318.75439646127</v>
      </c>
      <c r="M16" s="38" t="n">
        <f aca="false">Netz!H16+Netz!I16</f>
        <v>1713.19224631041</v>
      </c>
      <c r="N16" s="38" t="n">
        <f aca="false">J16+K16+L16+M16</f>
        <v>9072.86264277168</v>
      </c>
      <c r="O16" s="38" t="n">
        <f aca="false">E16*Strom_Mast*EK+N16*Wartung</f>
        <v>391.185879283151</v>
      </c>
      <c r="P16" s="23" t="n">
        <f aca="false">CEILING(Anlagen!F16/PG,1)</f>
        <v>1</v>
      </c>
      <c r="Q16" s="38" t="n">
        <f aca="false">J16+K16+L16+(P_KVz+P_USV+P_MontStandort+P16*(P_UCG+P_DAC)+P_Agg*CEILING((P16+E16)/Ports_Agg,1))*EK</f>
        <v>10644.0703964613</v>
      </c>
      <c r="R16" s="38" t="n">
        <f aca="false">(Uplink_Monat*12*MAX(1,CEILING(Buchungsquote!V16*Bandbreite/Ueberbuchung/Uplink_Kap,1))+Strom_Standort+P16*Strom_GW+E16*Strom_Mast)*EK+Q16*Wartung</f>
        <v>1634.27211189384</v>
      </c>
    </row>
    <row r="17" customFormat="false" ht="15" hidden="false" customHeight="false" outlineLevel="0" collapsed="false">
      <c r="A17" s="23" t="n">
        <f aca="false">Anlagen!A17</f>
        <v>13</v>
      </c>
      <c r="B17" s="23" t="str">
        <f aca="false">Anlagen!B17</f>
        <v>Am Waldesrand</v>
      </c>
      <c r="C17" s="23" t="n">
        <f aca="false">IF(Anlagen!X17&lt;&gt;"",Anlagen!X17,MAX(2,CEILING(Anlagen!F17/Parz_je_AP,1)))</f>
        <v>27</v>
      </c>
      <c r="D17" s="23" t="n">
        <f aca="false">IF(Anlagen!Y17&lt;&gt;"",Anlagen!Y17,CEILING(C17/AP_je_Mast,1))</f>
        <v>13</v>
      </c>
      <c r="E17" s="23" t="n">
        <f aca="false">MAX(1,CEILING(D17*Anteil_Technik,1))</f>
        <v>7</v>
      </c>
      <c r="F17" s="37" t="n">
        <f aca="false">IF(Anlagen!Z17&lt;&gt;"",Anlagen!Z17,Leitung_k*SQRT(Anlagen!H17))</f>
        <v>616.445694500335</v>
      </c>
      <c r="G17" s="37" t="n">
        <f aca="false">F17*Faser_f</f>
        <v>1023.29985287056</v>
      </c>
      <c r="H17" s="37" t="n">
        <f aca="false">F17*Kupfer_f</f>
        <v>653.432436170355</v>
      </c>
      <c r="I17" s="23" t="n">
        <f aca="false">ROUND(C17*Kabel_je_AP,0)</f>
        <v>11</v>
      </c>
      <c r="J17" s="38" t="n">
        <f aca="false">E17*(2*P_SFP+P_Flex+P_NT+P_Halter+P_Luefter+P_Spleiss+P_Saeule+P_Ueber)*EK</f>
        <v>6324.136</v>
      </c>
      <c r="K17" s="38" t="n">
        <f aca="false">(C17*P_AP+D17*(P_Mast+P_Fund+P_MontMast)+I17*2*P_Surge)*EK</f>
        <v>18587.8</v>
      </c>
      <c r="L17" s="38" t="n">
        <f aca="false">(G17*P_Faser+H17*P_Kupfer+F17*P_Tiefbau)*EK</f>
        <v>2759.69175622521</v>
      </c>
      <c r="M17" s="38" t="n">
        <f aca="false">Netz!H17+Netz!I17</f>
        <v>2517.09799063687</v>
      </c>
      <c r="N17" s="38" t="n">
        <f aca="false">J17+K17+L17+M17</f>
        <v>30188.7257468621</v>
      </c>
      <c r="O17" s="38" t="n">
        <f aca="false">E17*Strom_Mast*EK+N17*Wartung</f>
        <v>1322.16177240586</v>
      </c>
      <c r="P17" s="23" t="n">
        <f aca="false">CEILING(Anlagen!F17/PG,1)</f>
        <v>2</v>
      </c>
      <c r="Q17" s="38" t="n">
        <f aca="false">J17+K17+L17+(P_KVz+P_USV+P_MontStandort+P17*(P_UCG+P_DAC)+P_Agg*CEILING((P17+E17)/Ports_Agg,1))*EK</f>
        <v>31562.9277562252</v>
      </c>
      <c r="R17" s="38" t="n">
        <f aca="false">(Uplink_Monat*12*MAX(1,CEILING(Buchungsquote!V17*Bandbreite/Ueberbuchung/Uplink_Kap,1))+Strom_Standort+P17*Strom_GW+E17*Strom_Mast)*EK+Q17*Wartung</f>
        <v>2589.08783268676</v>
      </c>
    </row>
    <row r="18" customFormat="false" ht="15" hidden="false" customHeight="false" outlineLevel="0" collapsed="false">
      <c r="A18" s="23" t="n">
        <f aca="false">Anlagen!A18</f>
        <v>14</v>
      </c>
      <c r="B18" s="23" t="str">
        <f aca="false">Anlagen!B18</f>
        <v>An der Plane I</v>
      </c>
      <c r="C18" s="23" t="n">
        <f aca="false">IF(Anlagen!X18&lt;&gt;"",Anlagen!X18,MAX(2,CEILING(Anlagen!F18/Parz_je_AP,1)))</f>
        <v>5</v>
      </c>
      <c r="D18" s="23" t="n">
        <f aca="false">IF(Anlagen!Y18&lt;&gt;"",Anlagen!Y18,CEILING(C18/AP_je_Mast,1))</f>
        <v>3</v>
      </c>
      <c r="E18" s="23" t="n">
        <f aca="false">MAX(1,CEILING(D18*Anteil_Technik,1))</f>
        <v>2</v>
      </c>
      <c r="F18" s="37" t="n">
        <f aca="false">IF(Anlagen!Z18&lt;&gt;"",Anlagen!Z18,Leitung_k*SQRT(Anlagen!H18))</f>
        <v>318.67562995623</v>
      </c>
      <c r="G18" s="37" t="n">
        <f aca="false">F18*Faser_f</f>
        <v>529.001545727342</v>
      </c>
      <c r="H18" s="37" t="n">
        <f aca="false">F18*Kupfer_f</f>
        <v>337.796167753604</v>
      </c>
      <c r="I18" s="23" t="n">
        <f aca="false">ROUND(C18*Kabel_je_AP,0)</f>
        <v>2</v>
      </c>
      <c r="J18" s="38" t="n">
        <f aca="false">E18*(2*P_SFP+P_Flex+P_NT+P_Halter+P_Luefter+P_Spleiss+P_Saeule+P_Ueber)*EK</f>
        <v>1806.896</v>
      </c>
      <c r="K18" s="38" t="n">
        <f aca="false">(C18*P_AP+D18*(P_Mast+P_Fund+P_MontMast)+I18*2*P_Surge)*EK</f>
        <v>3907.96</v>
      </c>
      <c r="L18" s="38" t="n">
        <f aca="false">(G18*P_Faser+H18*P_Kupfer+F18*P_Tiefbau)*EK</f>
        <v>1426.64068667545</v>
      </c>
      <c r="M18" s="38" t="n">
        <f aca="false">Netz!H18+Netz!I18</f>
        <v>2265.63047813761</v>
      </c>
      <c r="N18" s="38" t="n">
        <f aca="false">J18+K18+L18+M18</f>
        <v>9407.12716481306</v>
      </c>
      <c r="O18" s="38" t="n">
        <f aca="false">E18*Strom_Mast*EK+N18*Wartung</f>
        <v>401.213814944392</v>
      </c>
      <c r="P18" s="23" t="n">
        <f aca="false">CEILING(Anlagen!F18/PG,1)</f>
        <v>1</v>
      </c>
      <c r="Q18" s="38" t="n">
        <f aca="false">J18+K18+L18+(P_KVz+P_USV+P_MontStandort+P18*(P_UCG+P_DAC)+P_Agg*CEILING((P18+E18)/Ports_Agg,1))*EK</f>
        <v>10425.8966866755</v>
      </c>
      <c r="R18" s="38" t="n">
        <f aca="false">(Uplink_Monat*12*MAX(1,CEILING(Buchungsquote!V18*Bandbreite/Ueberbuchung/Uplink_Kap,1))+Strom_Standort+P18*Strom_GW+E18*Strom_Mast)*EK+Q18*Wartung</f>
        <v>1627.72690060026</v>
      </c>
    </row>
    <row r="19" customFormat="false" ht="15" hidden="false" customHeight="false" outlineLevel="0" collapsed="false">
      <c r="A19" s="23" t="n">
        <f aca="false">Anlagen!A19</f>
        <v>15</v>
      </c>
      <c r="B19" s="23" t="str">
        <f aca="false">Anlagen!B19</f>
        <v>Bergeshöh</v>
      </c>
      <c r="C19" s="23" t="n">
        <f aca="false">IF(Anlagen!X19&lt;&gt;"",Anlagen!X19,MAX(2,CEILING(Anlagen!F19/Parz_je_AP,1)))</f>
        <v>4</v>
      </c>
      <c r="D19" s="23" t="n">
        <f aca="false">IF(Anlagen!Y19&lt;&gt;"",Anlagen!Y19,CEILING(C19/AP_je_Mast,1))</f>
        <v>2</v>
      </c>
      <c r="E19" s="23" t="n">
        <f aca="false">MAX(1,CEILING(D19*Anteil_Technik,1))</f>
        <v>1</v>
      </c>
      <c r="F19" s="37" t="n">
        <f aca="false">IF(Anlagen!Z19&lt;&gt;"",Anlagen!Z19,Leitung_k*SQRT(Anlagen!H19))</f>
        <v>243.831551354619</v>
      </c>
      <c r="G19" s="37" t="n">
        <f aca="false">F19*Faser_f</f>
        <v>404.760375248667</v>
      </c>
      <c r="H19" s="37" t="n">
        <f aca="false">F19*Kupfer_f</f>
        <v>258.461444435896</v>
      </c>
      <c r="I19" s="23" t="n">
        <f aca="false">ROUND(C19*Kabel_je_AP,0)</f>
        <v>2</v>
      </c>
      <c r="J19" s="38" t="n">
        <f aca="false">E19*(2*P_SFP+P_Flex+P_NT+P_Halter+P_Luefter+P_Spleiss+P_Saeule+P_Ueber)*EK</f>
        <v>903.448</v>
      </c>
      <c r="K19" s="38" t="n">
        <f aca="false">(C19*P_AP+D19*(P_Mast+P_Fund+P_MontMast)+I19*2*P_Surge)*EK</f>
        <v>2822.68</v>
      </c>
      <c r="L19" s="38" t="n">
        <f aca="false">(G19*P_Faser+H19*P_Kupfer+F19*P_Tiefbau)*EK</f>
        <v>1091.58021247333</v>
      </c>
      <c r="M19" s="38" t="n">
        <f aca="false">Netz!H19+Netz!I19</f>
        <v>2801.31166637486</v>
      </c>
      <c r="N19" s="38" t="n">
        <f aca="false">J19+K19+L19+M19</f>
        <v>7619.01987884819</v>
      </c>
      <c r="O19" s="38" t="n">
        <f aca="false">E19*Strom_Mast*EK+N19*Wartung</f>
        <v>288.070596365446</v>
      </c>
      <c r="P19" s="23" t="n">
        <f aca="false">CEILING(Anlagen!F19/PG,1)</f>
        <v>1</v>
      </c>
      <c r="Q19" s="38" t="n">
        <f aca="false">J19+K19+L19+(P_KVz+P_USV+P_MontStandort+P19*(P_UCG+P_DAC)+P_Agg*CEILING((P19+E19)/Ports_Agg,1))*EK</f>
        <v>8102.10821247333</v>
      </c>
      <c r="R19" s="38" t="n">
        <f aca="false">(Uplink_Monat*12*MAX(1,CEILING(Buchungsquote!V19*Bandbreite/Ueberbuchung/Uplink_Kap,1))+Strom_Standort+P19*Strom_GW+E19*Strom_Mast)*EK+Q19*Wartung</f>
        <v>1498.5132463742</v>
      </c>
    </row>
    <row r="20" customFormat="false" ht="15" hidden="false" customHeight="false" outlineLevel="0" collapsed="false">
      <c r="A20" s="23" t="n">
        <f aca="false">Anlagen!A20</f>
        <v>16</v>
      </c>
      <c r="B20" s="23" t="str">
        <f aca="false">Anlagen!B20</f>
        <v>Bergfrieden</v>
      </c>
      <c r="C20" s="23" t="n">
        <f aca="false">IF(Anlagen!X20&lt;&gt;"",Anlagen!X20,MAX(2,CEILING(Anlagen!F20/Parz_je_AP,1)))</f>
        <v>37</v>
      </c>
      <c r="D20" s="23" t="n">
        <f aca="false">IF(Anlagen!Y20&lt;&gt;"",Anlagen!Y20,CEILING(C20/AP_je_Mast,1))</f>
        <v>17</v>
      </c>
      <c r="E20" s="23" t="n">
        <f aca="false">MAX(1,CEILING(D20*Anteil_Technik,1))</f>
        <v>9</v>
      </c>
      <c r="F20" s="37" t="n">
        <f aca="false">IF(Anlagen!Z20&lt;&gt;"",Anlagen!Z20,Leitung_k*SQRT(Anlagen!H20))</f>
        <v>661.127185394762</v>
      </c>
      <c r="G20" s="37" t="n">
        <f aca="false">F20*Faser_f</f>
        <v>1097.47112775531</v>
      </c>
      <c r="H20" s="37" t="n">
        <f aca="false">F20*Kupfer_f</f>
        <v>700.794816518448</v>
      </c>
      <c r="I20" s="23" t="n">
        <f aca="false">ROUND(C20*Kabel_je_AP,0)</f>
        <v>16</v>
      </c>
      <c r="J20" s="38" t="n">
        <f aca="false">E20*(2*P_SFP+P_Flex+P_NT+P_Halter+P_Luefter+P_Spleiss+P_Saeule+P_Ueber)*EK</f>
        <v>8131.032</v>
      </c>
      <c r="K20" s="38" t="n">
        <f aca="false">(C20*P_AP+D20*(P_Mast+P_Fund+P_MontMast)+I20*2*P_Surge)*EK</f>
        <v>24856.72</v>
      </c>
      <c r="L20" s="38" t="n">
        <f aca="false">(G20*P_Faser+H20*P_Kupfer+F20*P_Tiefbau)*EK</f>
        <v>2959.72096103156</v>
      </c>
      <c r="M20" s="38" t="n">
        <f aca="false">Netz!H20+Netz!I20</f>
        <v>0</v>
      </c>
      <c r="N20" s="38" t="n">
        <f aca="false">J20+K20+L20+M20</f>
        <v>35947.4729610316</v>
      </c>
      <c r="O20" s="38" t="n">
        <f aca="false">E20*Strom_Mast*EK+N20*Wartung</f>
        <v>1613.92418883095</v>
      </c>
      <c r="P20" s="23" t="n">
        <f aca="false">CEILING(Anlagen!F20/PG,1)</f>
        <v>3</v>
      </c>
      <c r="Q20" s="38" t="n">
        <f aca="false">J20+K20+L20+(P_KVz+P_USV+P_MontStandort+P20*(P_UCG+P_DAC)+P_Agg*CEILING((P20+E20)/Ports_Agg,1))*EK</f>
        <v>40160.0729610316</v>
      </c>
      <c r="R20" s="38" t="n">
        <f aca="false">(Uplink_Monat*12*MAX(1,CEILING(Buchungsquote!V20*Bandbreite/Ueberbuchung/Uplink_Kap,1))+Strom_Standort+P20*Strom_GW+E20*Strom_Mast)*EK+Q20*Wartung</f>
        <v>2995.75218883095</v>
      </c>
    </row>
    <row r="21" customFormat="false" ht="15" hidden="false" customHeight="false" outlineLevel="0" collapsed="false">
      <c r="A21" s="23" t="n">
        <f aca="false">Anlagen!A21</f>
        <v>17</v>
      </c>
      <c r="B21" s="23" t="str">
        <f aca="false">Anlagen!B21</f>
        <v>Birkenwäldchen</v>
      </c>
      <c r="C21" s="23" t="n">
        <f aca="false">IF(Anlagen!X21&lt;&gt;"",Anlagen!X21,MAX(2,CEILING(Anlagen!F21/Parz_je_AP,1)))</f>
        <v>16</v>
      </c>
      <c r="D21" s="23" t="n">
        <f aca="false">IF(Anlagen!Y21&lt;&gt;"",Anlagen!Y21,CEILING(C21/AP_je_Mast,1))</f>
        <v>8</v>
      </c>
      <c r="E21" s="23" t="n">
        <f aca="false">MAX(1,CEILING(D21*Anteil_Technik,1))</f>
        <v>4</v>
      </c>
      <c r="F21" s="37" t="n">
        <f aca="false">IF(Anlagen!Z21&lt;&gt;"",Anlagen!Z21,Leitung_k*SQRT(Anlagen!H21))</f>
        <v>486.539686294962</v>
      </c>
      <c r="G21" s="37" t="n">
        <f aca="false">F21*Faser_f</f>
        <v>807.655879249637</v>
      </c>
      <c r="H21" s="37" t="n">
        <f aca="false">F21*Kupfer_f</f>
        <v>515.73206747266</v>
      </c>
      <c r="I21" s="23" t="n">
        <f aca="false">ROUND(C21*Kabel_je_AP,0)</f>
        <v>7</v>
      </c>
      <c r="J21" s="38" t="n">
        <f aca="false">E21*(2*P_SFP+P_Flex+P_NT+P_Halter+P_Luefter+P_Spleiss+P_Saeule+P_Ueber)*EK</f>
        <v>3613.792</v>
      </c>
      <c r="K21" s="38" t="n">
        <f aca="false">(C21*P_AP+D21*(P_Mast+P_Fund+P_MontMast)+I21*2*P_Surge)*EK</f>
        <v>11262.16</v>
      </c>
      <c r="L21" s="38" t="n">
        <f aca="false">(G21*P_Faser+H21*P_Kupfer+F21*P_Tiefbau)*EK</f>
        <v>2178.13113681156</v>
      </c>
      <c r="M21" s="38" t="n">
        <f aca="false">Netz!H21+Netz!I21</f>
        <v>0</v>
      </c>
      <c r="N21" s="38" t="n">
        <f aca="false">J21+K21+L21+M21</f>
        <v>17054.0831368116</v>
      </c>
      <c r="O21" s="38" t="n">
        <f aca="false">E21*Strom_Mast*EK+N21*Wartung</f>
        <v>749.622494104347</v>
      </c>
      <c r="P21" s="23" t="n">
        <f aca="false">CEILING(Anlagen!F21/PG,1)</f>
        <v>2</v>
      </c>
      <c r="Q21" s="38" t="n">
        <f aca="false">J21+K21+L21+(P_KVz+P_USV+P_MontStandort+P21*(P_UCG+P_DAC)+P_Agg*CEILING((P21+E21)/Ports_Agg,1))*EK</f>
        <v>20659.7831368116</v>
      </c>
      <c r="R21" s="38" t="n">
        <f aca="false">(Uplink_Monat*12*MAX(1,CEILING(Buchungsquote!V21*Bandbreite/Ueberbuchung/Uplink_Kap,1))+Strom_Standort+P21*Strom_GW+E21*Strom_Mast)*EK+Q21*Wartung</f>
        <v>2083.49349410435</v>
      </c>
    </row>
    <row r="22" customFormat="false" ht="15" hidden="false" customHeight="false" outlineLevel="0" collapsed="false">
      <c r="A22" s="23" t="n">
        <f aca="false">Anlagen!A22</f>
        <v>18</v>
      </c>
      <c r="B22" s="23" t="str">
        <f aca="false">Anlagen!B22</f>
        <v>BKV Pfefferland</v>
      </c>
      <c r="C22" s="23" t="n">
        <f aca="false">IF(Anlagen!X22&lt;&gt;"",Anlagen!X22,MAX(2,CEILING(Anlagen!F22/Parz_je_AP,1)))</f>
        <v>18</v>
      </c>
      <c r="D22" s="23" t="n">
        <f aca="false">IF(Anlagen!Y22&lt;&gt;"",Anlagen!Y22,CEILING(C22/AP_je_Mast,1))</f>
        <v>9</v>
      </c>
      <c r="E22" s="23" t="n">
        <f aca="false">MAX(1,CEILING(D22*Anteil_Technik,1))</f>
        <v>5</v>
      </c>
      <c r="F22" s="37" t="n">
        <f aca="false">IF(Anlagen!Z22&lt;&gt;"",Anlagen!Z22,Leitung_k*SQRT(Anlagen!H22))</f>
        <v>507.506040192627</v>
      </c>
      <c r="G22" s="37" t="n">
        <f aca="false">F22*Faser_f</f>
        <v>842.46002671976</v>
      </c>
      <c r="H22" s="37" t="n">
        <f aca="false">F22*Kupfer_f</f>
        <v>537.956402604184</v>
      </c>
      <c r="I22" s="23" t="n">
        <f aca="false">ROUND(C22*Kabel_je_AP,0)</f>
        <v>8</v>
      </c>
      <c r="J22" s="38" t="n">
        <f aca="false">E22*(2*P_SFP+P_Flex+P_NT+P_Halter+P_Luefter+P_Spleiss+P_Saeule+P_Ueber)*EK</f>
        <v>4517.24</v>
      </c>
      <c r="K22" s="38" t="n">
        <f aca="false">(C22*P_AP+D22*(P_Mast+P_Fund+P_MontMast)+I22*2*P_Surge)*EK</f>
        <v>12673.5</v>
      </c>
      <c r="L22" s="38" t="n">
        <f aca="false">(G22*P_Faser+H22*P_Kupfer+F22*P_Tiefbau)*EK</f>
        <v>2271.99289061355</v>
      </c>
      <c r="M22" s="38" t="n">
        <f aca="false">Netz!H22+Netz!I22</f>
        <v>1607.01721143788</v>
      </c>
      <c r="N22" s="38" t="n">
        <f aca="false">J22+K22+L22+M22</f>
        <v>21069.7501020514</v>
      </c>
      <c r="O22" s="38" t="n">
        <f aca="false">E22*Strom_Mast*EK+N22*Wartung</f>
        <v>929.592503061543</v>
      </c>
      <c r="P22" s="23" t="n">
        <f aca="false">CEILING(Anlagen!F22/PG,1)</f>
        <v>2</v>
      </c>
      <c r="Q22" s="38" t="n">
        <f aca="false">J22+K22+L22+(P_KVz+P_USV+P_MontStandort+P22*(P_UCG+P_DAC)+P_Agg*CEILING((P22+E22)/Ports_Agg,1))*EK</f>
        <v>23068.4328906135</v>
      </c>
      <c r="R22" s="38" t="n">
        <f aca="false">(Uplink_Monat*12*MAX(1,CEILING(Buchungsquote!V22*Bandbreite/Ueberbuchung/Uplink_Kap,1))+Strom_Standort+P22*Strom_GW+E22*Strom_Mast)*EK+Q22*Wartung</f>
        <v>2215.25298671841</v>
      </c>
    </row>
    <row r="23" customFormat="false" ht="15" hidden="false" customHeight="false" outlineLevel="0" collapsed="false">
      <c r="A23" s="23" t="n">
        <f aca="false">Anlagen!A23</f>
        <v>19</v>
      </c>
      <c r="B23" s="23" t="str">
        <f aca="false">Anlagen!B23</f>
        <v>Brielower Dreieck</v>
      </c>
      <c r="C23" s="23" t="n">
        <f aca="false">IF(Anlagen!X23&lt;&gt;"",Anlagen!X23,MAX(2,CEILING(Anlagen!F23/Parz_je_AP,1)))</f>
        <v>10</v>
      </c>
      <c r="D23" s="23" t="n">
        <f aca="false">IF(Anlagen!Y23&lt;&gt;"",Anlagen!Y23,CEILING(C23/AP_je_Mast,1))</f>
        <v>5</v>
      </c>
      <c r="E23" s="23" t="n">
        <f aca="false">MAX(1,CEILING(D23*Anteil_Technik,1))</f>
        <v>3</v>
      </c>
      <c r="F23" s="37" t="n">
        <f aca="false">IF(Anlagen!Z23&lt;&gt;"",Anlagen!Z23,Leitung_k*SQRT(Anlagen!H23))</f>
        <v>349.783404128898</v>
      </c>
      <c r="G23" s="37" t="n">
        <f aca="false">F23*Faser_f</f>
        <v>580.640450853971</v>
      </c>
      <c r="H23" s="37" t="n">
        <f aca="false">F23*Kupfer_f</f>
        <v>370.770408376632</v>
      </c>
      <c r="I23" s="23" t="n">
        <f aca="false">ROUND(C23*Kabel_je_AP,0)</f>
        <v>4</v>
      </c>
      <c r="J23" s="38" t="n">
        <f aca="false">E23*(2*P_SFP+P_Flex+P_NT+P_Halter+P_Luefter+P_Spleiss+P_Saeule+P_Ueber)*EK</f>
        <v>2710.344</v>
      </c>
      <c r="K23" s="38" t="n">
        <f aca="false">(C23*P_AP+D23*(P_Mast+P_Fund+P_MontMast)+I23*2*P_Surge)*EK</f>
        <v>7028.14</v>
      </c>
      <c r="L23" s="38" t="n">
        <f aca="false">(G23*P_Faser+H23*P_Kupfer+F23*P_Tiefbau)*EK</f>
        <v>1565.90334793617</v>
      </c>
      <c r="M23" s="38" t="n">
        <f aca="false">Netz!H23+Netz!I23</f>
        <v>3452.1544544729</v>
      </c>
      <c r="N23" s="38" t="n">
        <f aca="false">J23+K23+L23+M23</f>
        <v>14756.5418024091</v>
      </c>
      <c r="O23" s="38" t="n">
        <f aca="false">E23*Strom_Mast*EK+N23*Wartung</f>
        <v>621.196254072272</v>
      </c>
      <c r="P23" s="23" t="n">
        <f aca="false">CEILING(Anlagen!F23/PG,1)</f>
        <v>1</v>
      </c>
      <c r="Q23" s="38" t="n">
        <f aca="false">J23+K23+L23+(P_KVz+P_USV+P_MontStandort+P23*(P_UCG+P_DAC)+P_Agg*CEILING((P23+E23)/Ports_Agg,1))*EK</f>
        <v>14588.7873479362</v>
      </c>
      <c r="R23" s="38" t="n">
        <f aca="false">(Uplink_Monat*12*MAX(1,CEILING(Buchungsquote!V23*Bandbreite/Ueberbuchung/Uplink_Kap,1))+Strom_Standort+P23*Strom_GW+E23*Strom_Mast)*EK+Q23*Wartung</f>
        <v>1812.11362043809</v>
      </c>
    </row>
    <row r="24" customFormat="false" ht="15" hidden="false" customHeight="false" outlineLevel="0" collapsed="false">
      <c r="A24" s="23" t="n">
        <f aca="false">Anlagen!A24</f>
        <v>20</v>
      </c>
      <c r="B24" s="23" t="str">
        <f aca="false">Anlagen!B24</f>
        <v>Buchenweg</v>
      </c>
      <c r="C24" s="23" t="n">
        <f aca="false">IF(Anlagen!X24&lt;&gt;"",Anlagen!X24,MAX(2,CEILING(Anlagen!F24/Parz_je_AP,1)))</f>
        <v>24</v>
      </c>
      <c r="D24" s="23" t="n">
        <f aca="false">IF(Anlagen!Y24&lt;&gt;"",Anlagen!Y24,CEILING(C24/AP_je_Mast,1))</f>
        <v>11</v>
      </c>
      <c r="E24" s="23" t="n">
        <f aca="false">MAX(1,CEILING(D24*Anteil_Technik,1))</f>
        <v>6</v>
      </c>
      <c r="F24" s="37" t="n">
        <f aca="false">IF(Anlagen!Z24&lt;&gt;"",Anlagen!Z24,Leitung_k*SQRT(Anlagen!H24))</f>
        <v>625.01406104503</v>
      </c>
      <c r="G24" s="37" t="n">
        <f aca="false">F24*Faser_f</f>
        <v>1037.52334133475</v>
      </c>
      <c r="H24" s="37" t="n">
        <f aca="false">F24*Kupfer_f</f>
        <v>662.514904707731</v>
      </c>
      <c r="I24" s="23" t="n">
        <f aca="false">ROUND(C24*Kabel_je_AP,0)</f>
        <v>10</v>
      </c>
      <c r="J24" s="38" t="n">
        <f aca="false">E24*(2*P_SFP+P_Flex+P_NT+P_Halter+P_Luefter+P_Spleiss+P_Saeule+P_Ueber)*EK</f>
        <v>5420.688</v>
      </c>
      <c r="K24" s="38" t="n">
        <f aca="false">(C24*P_AP+D24*(P_Mast+P_Fund+P_MontMast)+I24*2*P_Surge)*EK</f>
        <v>16091.18</v>
      </c>
      <c r="L24" s="38" t="n">
        <f aca="false">(G24*P_Faser+H24*P_Kupfer+F24*P_Tiefbau)*EK</f>
        <v>2798.05044820517</v>
      </c>
      <c r="M24" s="38" t="n">
        <f aca="false">Netz!H24+Netz!I24</f>
        <v>2417.79839987642</v>
      </c>
      <c r="N24" s="38" t="n">
        <f aca="false">J24+K24+L24+M24</f>
        <v>26727.7168480816</v>
      </c>
      <c r="O24" s="38" t="n">
        <f aca="false">E24*Strom_Mast*EK+N24*Wartung</f>
        <v>1158.83150544245</v>
      </c>
      <c r="P24" s="23" t="n">
        <f aca="false">CEILING(Anlagen!F24/PG,1)</f>
        <v>2</v>
      </c>
      <c r="Q24" s="38" t="n">
        <f aca="false">J24+K24+L24+(P_KVz+P_USV+P_MontStandort+P24*(P_UCG+P_DAC)+P_Agg*CEILING((P24+E24)/Ports_Agg,1))*EK</f>
        <v>27915.6184482052</v>
      </c>
      <c r="R24" s="38" t="n">
        <f aca="false">(Uplink_Monat*12*MAX(1,CEILING(Buchungsquote!V24*Bandbreite/Ueberbuchung/Uplink_Kap,1))+Strom_Standort+P24*Strom_GW+E24*Strom_Mast)*EK+Q24*Wartung</f>
        <v>2420.16855344616</v>
      </c>
    </row>
    <row r="25" customFormat="false" ht="15" hidden="false" customHeight="false" outlineLevel="0" collapsed="false">
      <c r="A25" s="23" t="n">
        <f aca="false">Anlagen!A25</f>
        <v>21</v>
      </c>
      <c r="B25" s="23" t="str">
        <f aca="false">Anlagen!B25</f>
        <v>Butterlake</v>
      </c>
      <c r="C25" s="23" t="n">
        <f aca="false">IF(Anlagen!X25&lt;&gt;"",Anlagen!X25,MAX(2,CEILING(Anlagen!F25/Parz_je_AP,1)))</f>
        <v>21</v>
      </c>
      <c r="D25" s="23" t="n">
        <f aca="false">IF(Anlagen!Y25&lt;&gt;"",Anlagen!Y25,CEILING(C25/AP_je_Mast,1))</f>
        <v>10</v>
      </c>
      <c r="E25" s="23" t="n">
        <f aca="false">MAX(1,CEILING(D25*Anteil_Technik,1))</f>
        <v>5</v>
      </c>
      <c r="F25" s="37" t="n">
        <f aca="false">IF(Anlagen!Z25&lt;&gt;"",Anlagen!Z25,Leitung_k*SQRT(Anlagen!H25))</f>
        <v>520.004116472168</v>
      </c>
      <c r="G25" s="37" t="n">
        <f aca="false">F25*Faser_f</f>
        <v>863.206833343799</v>
      </c>
      <c r="H25" s="37" t="n">
        <f aca="false">F25*Kupfer_f</f>
        <v>551.204363460498</v>
      </c>
      <c r="I25" s="23" t="n">
        <f aca="false">ROUND(C25*Kabel_je_AP,0)</f>
        <v>9</v>
      </c>
      <c r="J25" s="38" t="n">
        <f aca="false">E25*(2*P_SFP+P_Flex+P_NT+P_Halter+P_Luefter+P_Spleiss+P_Saeule+P_Ueber)*EK</f>
        <v>4517.24</v>
      </c>
      <c r="K25" s="38" t="n">
        <f aca="false">(C25*P_AP+D25*(P_Mast+P_Fund+P_MontMast)+I25*2*P_Surge)*EK</f>
        <v>14382.34</v>
      </c>
      <c r="L25" s="38" t="n">
        <f aca="false">(G25*P_Faser+H25*P_Kupfer+F25*P_Tiefbau)*EK</f>
        <v>2327.94402854027</v>
      </c>
      <c r="M25" s="38" t="n">
        <f aca="false">Netz!H25+Netz!I25</f>
        <v>1798.3025489665</v>
      </c>
      <c r="N25" s="38" t="n">
        <f aca="false">J25+K25+L25+M25</f>
        <v>23025.8265775068</v>
      </c>
      <c r="O25" s="38" t="n">
        <f aca="false">E25*Strom_Mast*EK+N25*Wartung</f>
        <v>988.274797325203</v>
      </c>
      <c r="P25" s="23" t="n">
        <f aca="false">CEILING(Anlagen!F25/PG,1)</f>
        <v>2</v>
      </c>
      <c r="Q25" s="38" t="n">
        <f aca="false">J25+K25+L25+(P_KVz+P_USV+P_MontStandort+P25*(P_UCG+P_DAC)+P_Agg*CEILING((P25+E25)/Ports_Agg,1))*EK</f>
        <v>24833.2240285403</v>
      </c>
      <c r="R25" s="38" t="n">
        <f aca="false">(Uplink_Monat*12*MAX(1,CEILING(Buchungsquote!V25*Bandbreite/Ueberbuchung/Uplink_Kap,1))+Strom_Standort+P25*Strom_GW+E25*Strom_Mast)*EK+Q25*Wartung</f>
        <v>2268.19672085621</v>
      </c>
    </row>
    <row r="26" customFormat="false" ht="15" hidden="false" customHeight="false" outlineLevel="0" collapsed="false">
      <c r="A26" s="23" t="n">
        <f aca="false">Anlagen!A26</f>
        <v>22</v>
      </c>
      <c r="B26" s="23" t="str">
        <f aca="false">Anlagen!B26</f>
        <v>Eichhorstweg</v>
      </c>
      <c r="C26" s="23" t="n">
        <f aca="false">IF(Anlagen!X26&lt;&gt;"",Anlagen!X26,MAX(2,CEILING(Anlagen!F26/Parz_je_AP,1)))</f>
        <v>11</v>
      </c>
      <c r="D26" s="23" t="n">
        <f aca="false">IF(Anlagen!Y26&lt;&gt;"",Anlagen!Y26,CEILING(C26/AP_je_Mast,1))</f>
        <v>5</v>
      </c>
      <c r="E26" s="23" t="n">
        <f aca="false">MAX(1,CEILING(D26*Anteil_Technik,1))</f>
        <v>3</v>
      </c>
      <c r="F26" s="37" t="n">
        <f aca="false">IF(Anlagen!Z26&lt;&gt;"",Anlagen!Z26,Leitung_k*SQRT(Anlagen!H26))</f>
        <v>401.130434267957</v>
      </c>
      <c r="G26" s="37" t="n">
        <f aca="false">F26*Faser_f</f>
        <v>665.876520884809</v>
      </c>
      <c r="H26" s="37" t="n">
        <f aca="false">F26*Kupfer_f</f>
        <v>425.198260324035</v>
      </c>
      <c r="I26" s="23" t="n">
        <f aca="false">ROUND(C26*Kabel_je_AP,0)</f>
        <v>5</v>
      </c>
      <c r="J26" s="38" t="n">
        <f aca="false">E26*(2*P_SFP+P_Flex+P_NT+P_Halter+P_Luefter+P_Spleiss+P_Saeule+P_Ueber)*EK</f>
        <v>2710.344</v>
      </c>
      <c r="K26" s="38" t="n">
        <f aca="false">(C26*P_AP+D26*(P_Mast+P_Fund+P_MontMast)+I26*2*P_Surge)*EK</f>
        <v>7354.2</v>
      </c>
      <c r="L26" s="38" t="n">
        <f aca="false">(G26*P_Faser+H26*P_Kupfer+F26*P_Tiefbau)*EK</f>
        <v>1795.77270552211</v>
      </c>
      <c r="M26" s="38" t="n">
        <f aca="false">Netz!H26+Netz!I26</f>
        <v>0</v>
      </c>
      <c r="N26" s="38" t="n">
        <f aca="false">J26+K26+L26+M26</f>
        <v>11860.3167055221</v>
      </c>
      <c r="O26" s="38" t="n">
        <f aca="false">E26*Strom_Mast*EK+N26*Wartung</f>
        <v>534.309501165663</v>
      </c>
      <c r="P26" s="23" t="n">
        <f aca="false">CEILING(Anlagen!F26/PG,1)</f>
        <v>1</v>
      </c>
      <c r="Q26" s="38" t="n">
        <f aca="false">J26+K26+L26+(P_KVz+P_USV+P_MontStandort+P26*(P_UCG+P_DAC)+P_Agg*CEILING((P26+E26)/Ports_Agg,1))*EK</f>
        <v>15144.7167055221</v>
      </c>
      <c r="R26" s="38" t="n">
        <f aca="false">(Uplink_Monat*12*MAX(1,CEILING(Buchungsquote!V26*Bandbreite/Ueberbuchung/Uplink_Kap,1))+Strom_Standort+P26*Strom_GW+E26*Strom_Mast)*EK+Q26*Wartung</f>
        <v>1828.79150116566</v>
      </c>
    </row>
    <row r="27" customFormat="false" ht="15" hidden="false" customHeight="false" outlineLevel="0" collapsed="false">
      <c r="A27" s="23" t="n">
        <f aca="false">Anlagen!A27</f>
        <v>23</v>
      </c>
      <c r="B27" s="23" t="str">
        <f aca="false">Anlagen!B27</f>
        <v>Eigener Fleiß</v>
      </c>
      <c r="C27" s="23" t="n">
        <f aca="false">IF(Anlagen!X27&lt;&gt;"",Anlagen!X27,MAX(2,CEILING(Anlagen!F27/Parz_je_AP,1)))</f>
        <v>35</v>
      </c>
      <c r="D27" s="23" t="n">
        <f aca="false">IF(Anlagen!Y27&lt;&gt;"",Anlagen!Y27,CEILING(C27/AP_je_Mast,1))</f>
        <v>16</v>
      </c>
      <c r="E27" s="23" t="n">
        <f aca="false">MAX(1,CEILING(D27*Anteil_Technik,1))</f>
        <v>8</v>
      </c>
      <c r="F27" s="37" t="n">
        <f aca="false">IF(Anlagen!Z27&lt;&gt;"",Anlagen!Z27,Leitung_k*SQRT(Anlagen!H27))</f>
        <v>705.289090779093</v>
      </c>
      <c r="G27" s="37" t="n">
        <f aca="false">F27*Faser_f</f>
        <v>1170.77989069329</v>
      </c>
      <c r="H27" s="37" t="n">
        <f aca="false">F27*Kupfer_f</f>
        <v>747.606436225839</v>
      </c>
      <c r="I27" s="23" t="n">
        <f aca="false">ROUND(C27*Kabel_je_AP,0)</f>
        <v>15</v>
      </c>
      <c r="J27" s="38" t="n">
        <f aca="false">E27*(2*P_SFP+P_Flex+P_NT+P_Halter+P_Luefter+P_Spleiss+P_Saeule+P_Ueber)*EK</f>
        <v>7227.584</v>
      </c>
      <c r="K27" s="38" t="n">
        <f aca="false">(C27*P_AP+D27*(P_Mast+P_Fund+P_MontMast)+I27*2*P_Surge)*EK</f>
        <v>23445.38</v>
      </c>
      <c r="L27" s="38" t="n">
        <f aca="false">(G27*P_Faser+H27*P_Kupfer+F27*P_Tiefbau)*EK</f>
        <v>3157.42409581803</v>
      </c>
      <c r="M27" s="38" t="n">
        <f aca="false">Netz!H27+Netz!I27</f>
        <v>0</v>
      </c>
      <c r="N27" s="38" t="n">
        <f aca="false">J27+K27+L27+M27</f>
        <v>33830.388095818</v>
      </c>
      <c r="O27" s="38" t="n">
        <f aca="false">E27*Strom_Mast*EK+N27*Wartung</f>
        <v>1490.91164287454</v>
      </c>
      <c r="P27" s="23" t="n">
        <f aca="false">CEILING(Anlagen!F27/PG,1)</f>
        <v>3</v>
      </c>
      <c r="Q27" s="38" t="n">
        <f aca="false">J27+K27+L27+(P_KVz+P_USV+P_MontStandort+P27*(P_UCG+P_DAC)+P_Agg*CEILING((P27+E27)/Ports_Agg,1))*EK</f>
        <v>38042.988095818</v>
      </c>
      <c r="R27" s="38" t="n">
        <f aca="false">(Uplink_Monat*12*MAX(1,CEILING(Buchungsquote!V27*Bandbreite/Ueberbuchung/Uplink_Kap,1))+Strom_Standort+P27*Strom_GW+E27*Strom_Mast)*EK+Q27*Wartung</f>
        <v>2872.73964287454</v>
      </c>
    </row>
    <row r="28" customFormat="false" ht="15" hidden="false" customHeight="false" outlineLevel="0" collapsed="false">
      <c r="A28" s="23" t="n">
        <f aca="false">Anlagen!A28</f>
        <v>24</v>
      </c>
      <c r="B28" s="23" t="str">
        <f aca="false">Anlagen!B28</f>
        <v>Einheit</v>
      </c>
      <c r="C28" s="23" t="n">
        <f aca="false">IF(Anlagen!X28&lt;&gt;"",Anlagen!X28,MAX(2,CEILING(Anlagen!F28/Parz_je_AP,1)))</f>
        <v>28</v>
      </c>
      <c r="D28" s="23" t="n">
        <f aca="false">IF(Anlagen!Y28&lt;&gt;"",Anlagen!Y28,CEILING(C28/AP_je_Mast,1))</f>
        <v>13</v>
      </c>
      <c r="E28" s="23" t="n">
        <f aca="false">MAX(1,CEILING(D28*Anteil_Technik,1))</f>
        <v>7</v>
      </c>
      <c r="F28" s="37" t="n">
        <f aca="false">IF(Anlagen!Z28&lt;&gt;"",Anlagen!Z28,Leitung_k*SQRT(Anlagen!H28))</f>
        <v>624.856572025933</v>
      </c>
      <c r="G28" s="37" t="n">
        <f aca="false">F28*Faser_f</f>
        <v>1037.26190956305</v>
      </c>
      <c r="H28" s="37" t="n">
        <f aca="false">F28*Kupfer_f</f>
        <v>662.347966347489</v>
      </c>
      <c r="I28" s="23" t="n">
        <f aca="false">ROUND(C28*Kabel_je_AP,0)</f>
        <v>12</v>
      </c>
      <c r="J28" s="38" t="n">
        <f aca="false">E28*(2*P_SFP+P_Flex+P_NT+P_Halter+P_Luefter+P_Spleiss+P_Saeule+P_Ueber)*EK</f>
        <v>6324.136</v>
      </c>
      <c r="K28" s="38" t="n">
        <f aca="false">(C28*P_AP+D28*(P_Mast+P_Fund+P_MontMast)+I28*2*P_Surge)*EK</f>
        <v>18913.86</v>
      </c>
      <c r="L28" s="38" t="n">
        <f aca="false">(G28*P_Faser+H28*P_Kupfer+F28*P_Tiefbau)*EK</f>
        <v>2797.34540451426</v>
      </c>
      <c r="M28" s="38" t="n">
        <f aca="false">Netz!H28+Netz!I28</f>
        <v>2276.49848710802</v>
      </c>
      <c r="N28" s="38" t="n">
        <f aca="false">J28+K28+L28+M28</f>
        <v>30311.8398916223</v>
      </c>
      <c r="O28" s="38" t="n">
        <f aca="false">E28*Strom_Mast*EK+N28*Wartung</f>
        <v>1325.85519674867</v>
      </c>
      <c r="P28" s="23" t="n">
        <f aca="false">CEILING(Anlagen!F28/PG,1)</f>
        <v>2</v>
      </c>
      <c r="Q28" s="38" t="n">
        <f aca="false">J28+K28+L28+(P_KVz+P_USV+P_MontStandort+P28*(P_UCG+P_DAC)+P_Agg*CEILING((P28+E28)/Ports_Agg,1))*EK</f>
        <v>31926.6414045143</v>
      </c>
      <c r="R28" s="38" t="n">
        <f aca="false">(Uplink_Monat*12*MAX(1,CEILING(Buchungsquote!V28*Bandbreite/Ueberbuchung/Uplink_Kap,1))+Strom_Standort+P28*Strom_GW+E28*Strom_Mast)*EK+Q28*Wartung</f>
        <v>2599.99924213543</v>
      </c>
    </row>
    <row r="29" customFormat="false" ht="15" hidden="false" customHeight="false" outlineLevel="0" collapsed="false">
      <c r="A29" s="23" t="n">
        <f aca="false">Anlagen!A29</f>
        <v>25</v>
      </c>
      <c r="B29" s="23" t="str">
        <f aca="false">Anlagen!B29</f>
        <v>Einigkeit</v>
      </c>
      <c r="C29" s="23" t="n">
        <f aca="false">IF(Anlagen!X29&lt;&gt;"",Anlagen!X29,MAX(2,CEILING(Anlagen!F29/Parz_je_AP,1)))</f>
        <v>4</v>
      </c>
      <c r="D29" s="23" t="n">
        <f aca="false">IF(Anlagen!Y29&lt;&gt;"",Anlagen!Y29,CEILING(C29/AP_je_Mast,1))</f>
        <v>2</v>
      </c>
      <c r="E29" s="23" t="n">
        <f aca="false">MAX(1,CEILING(D29*Anteil_Technik,1))</f>
        <v>1</v>
      </c>
      <c r="F29" s="37" t="n">
        <f aca="false">IF(Anlagen!Z29&lt;&gt;"",Anlagen!Z29,Leitung_k*SQRT(Anlagen!H29))</f>
        <v>191.754739498141</v>
      </c>
      <c r="G29" s="37" t="n">
        <f aca="false">F29*Faser_f</f>
        <v>318.312867566914</v>
      </c>
      <c r="H29" s="37" t="n">
        <f aca="false">F29*Kupfer_f</f>
        <v>203.26002386803</v>
      </c>
      <c r="I29" s="23" t="n">
        <f aca="false">ROUND(C29*Kabel_je_AP,0)</f>
        <v>2</v>
      </c>
      <c r="J29" s="38" t="n">
        <f aca="false">E29*(2*P_SFP+P_Flex+P_NT+P_Halter+P_Luefter+P_Spleiss+P_Saeule+P_Ueber)*EK</f>
        <v>903.448</v>
      </c>
      <c r="K29" s="38" t="n">
        <f aca="false">(C29*P_AP+D29*(P_Mast+P_Fund+P_MontMast)+I29*2*P_Surge)*EK</f>
        <v>2822.68</v>
      </c>
      <c r="L29" s="38" t="n">
        <f aca="false">(G29*P_Faser+H29*P_Kupfer+F29*P_Tiefbau)*EK</f>
        <v>858.443782690489</v>
      </c>
      <c r="M29" s="38" t="n">
        <f aca="false">Netz!H29+Netz!I29</f>
        <v>1515.45317496911</v>
      </c>
      <c r="N29" s="38" t="n">
        <f aca="false">J29+K29+L29+M29</f>
        <v>6100.0249576596</v>
      </c>
      <c r="O29" s="38" t="n">
        <f aca="false">E29*Strom_Mast*EK+N29*Wartung</f>
        <v>242.500748729788</v>
      </c>
      <c r="P29" s="23" t="n">
        <f aca="false">CEILING(Anlagen!F29/PG,1)</f>
        <v>1</v>
      </c>
      <c r="Q29" s="38" t="n">
        <f aca="false">J29+K29+L29+(P_KVz+P_USV+P_MontStandort+P29*(P_UCG+P_DAC)+P_Agg*CEILING((P29+E29)/Ports_Agg,1))*EK</f>
        <v>7868.97178269049</v>
      </c>
      <c r="R29" s="38" t="n">
        <f aca="false">(Uplink_Monat*12*MAX(1,CEILING(Buchungsquote!V29*Bandbreite/Ueberbuchung/Uplink_Kap,1))+Strom_Standort+P29*Strom_GW+E29*Strom_Mast)*EK+Q29*Wartung</f>
        <v>1491.51915348071</v>
      </c>
    </row>
    <row r="30" customFormat="false" ht="15" hidden="false" customHeight="false" outlineLevel="0" collapsed="false">
      <c r="A30" s="23" t="n">
        <f aca="false">Anlagen!A30</f>
        <v>26</v>
      </c>
      <c r="B30" s="23" t="str">
        <f aca="false">Anlagen!B30</f>
        <v>Eintracht I</v>
      </c>
      <c r="C30" s="23" t="n">
        <f aca="false">IF(Anlagen!X30&lt;&gt;"",Anlagen!X30,MAX(2,CEILING(Anlagen!F30/Parz_je_AP,1)))</f>
        <v>9</v>
      </c>
      <c r="D30" s="23" t="n">
        <f aca="false">IF(Anlagen!Y30&lt;&gt;"",Anlagen!Y30,CEILING(C30/AP_je_Mast,1))</f>
        <v>5</v>
      </c>
      <c r="E30" s="23" t="n">
        <f aca="false">MAX(1,CEILING(D30*Anteil_Technik,1))</f>
        <v>3</v>
      </c>
      <c r="F30" s="37" t="n">
        <f aca="false">IF(Anlagen!Z30&lt;&gt;"",Anlagen!Z30,Leitung_k*SQRT(Anlagen!H30))</f>
        <v>275.016631162554</v>
      </c>
      <c r="G30" s="37" t="n">
        <f aca="false">F30*Faser_f</f>
        <v>456.527607729839</v>
      </c>
      <c r="H30" s="37" t="n">
        <f aca="false">F30*Kupfer_f</f>
        <v>291.517629032307</v>
      </c>
      <c r="I30" s="23" t="n">
        <f aca="false">ROUND(C30*Kabel_je_AP,0)</f>
        <v>4</v>
      </c>
      <c r="J30" s="38" t="n">
        <f aca="false">E30*(2*P_SFP+P_Flex+P_NT+P_Halter+P_Luefter+P_Spleiss+P_Saeule+P_Ueber)*EK</f>
        <v>2710.344</v>
      </c>
      <c r="K30" s="38" t="n">
        <f aca="false">(C30*P_AP+D30*(P_Mast+P_Fund+P_MontMast)+I30*2*P_Surge)*EK</f>
        <v>6730.64</v>
      </c>
      <c r="L30" s="38" t="n">
        <f aca="false">(G30*P_Faser+H30*P_Kupfer+F30*P_Tiefbau)*EK</f>
        <v>1231.1889540559</v>
      </c>
      <c r="M30" s="38" t="n">
        <f aca="false">Netz!H30+Netz!I30</f>
        <v>2491.16225915295</v>
      </c>
      <c r="N30" s="38" t="n">
        <f aca="false">J30+K30+L30+M30</f>
        <v>13163.3352132088</v>
      </c>
      <c r="O30" s="38" t="n">
        <f aca="false">E30*Strom_Mast*EK+N30*Wartung</f>
        <v>573.400056396265</v>
      </c>
      <c r="P30" s="23" t="n">
        <f aca="false">CEILING(Anlagen!F30/PG,1)</f>
        <v>1</v>
      </c>
      <c r="Q30" s="38" t="n">
        <f aca="false">J30+K30+L30+(P_KVz+P_USV+P_MontStandort+P30*(P_UCG+P_DAC)+P_Agg*CEILING((P30+E30)/Ports_Agg,1))*EK</f>
        <v>13956.5729540559</v>
      </c>
      <c r="R30" s="38" t="n">
        <f aca="false">(Uplink_Monat*12*MAX(1,CEILING(Buchungsquote!V30*Bandbreite/Ueberbuchung/Uplink_Kap,1))+Strom_Standort+P30*Strom_GW+E30*Strom_Mast)*EK+Q30*Wartung</f>
        <v>1793.14718862168</v>
      </c>
    </row>
    <row r="31" customFormat="false" ht="15" hidden="false" customHeight="false" outlineLevel="0" collapsed="false">
      <c r="A31" s="23" t="n">
        <f aca="false">Anlagen!A31</f>
        <v>27</v>
      </c>
      <c r="B31" s="23" t="str">
        <f aca="false">Anlagen!B31</f>
        <v>Eintracht II</v>
      </c>
      <c r="C31" s="23" t="n">
        <f aca="false">IF(Anlagen!X31&lt;&gt;"",Anlagen!X31,MAX(2,CEILING(Anlagen!F31/Parz_je_AP,1)))</f>
        <v>12</v>
      </c>
      <c r="D31" s="23" t="n">
        <f aca="false">IF(Anlagen!Y31&lt;&gt;"",Anlagen!Y31,CEILING(C31/AP_je_Mast,1))</f>
        <v>6</v>
      </c>
      <c r="E31" s="23" t="n">
        <f aca="false">MAX(1,CEILING(D31*Anteil_Technik,1))</f>
        <v>3</v>
      </c>
      <c r="F31" s="37" t="n">
        <f aca="false">IF(Anlagen!Z31&lt;&gt;"",Anlagen!Z31,Leitung_k*SQRT(Anlagen!H31))</f>
        <v>352.931893599884</v>
      </c>
      <c r="G31" s="37" t="n">
        <f aca="false">F31*Faser_f</f>
        <v>585.866943375808</v>
      </c>
      <c r="H31" s="37" t="n">
        <f aca="false">F31*Kupfer_f</f>
        <v>374.107807215877</v>
      </c>
      <c r="I31" s="23" t="n">
        <f aca="false">ROUND(C31*Kabel_je_AP,0)</f>
        <v>5</v>
      </c>
      <c r="J31" s="38" t="n">
        <f aca="false">E31*(2*P_SFP+P_Flex+P_NT+P_Halter+P_Luefter+P_Spleiss+P_Saeule+P_Ueber)*EK</f>
        <v>2710.344</v>
      </c>
      <c r="K31" s="38" t="n">
        <f aca="false">(C31*P_AP+D31*(P_Mast+P_Fund+P_MontMast)+I31*2*P_Surge)*EK</f>
        <v>8439.48</v>
      </c>
      <c r="L31" s="38" t="n">
        <f aca="false">(G31*P_Faser+H31*P_Kupfer+F31*P_Tiefbau)*EK</f>
        <v>1579.99844263009</v>
      </c>
      <c r="M31" s="38" t="n">
        <f aca="false">Netz!H31+Netz!I31</f>
        <v>3721.71436760244</v>
      </c>
      <c r="N31" s="38" t="n">
        <f aca="false">J31+K31+L31+M31</f>
        <v>16451.5368102325</v>
      </c>
      <c r="O31" s="38" t="n">
        <f aca="false">E31*Strom_Mast*EK+N31*Wartung</f>
        <v>672.046104306976</v>
      </c>
      <c r="P31" s="23" t="n">
        <f aca="false">CEILING(Anlagen!F31/PG,1)</f>
        <v>1</v>
      </c>
      <c r="Q31" s="38" t="n">
        <f aca="false">J31+K31+L31+(P_KVz+P_USV+P_MontStandort+P31*(P_UCG+P_DAC)+P_Agg*CEILING((P31+E31)/Ports_Agg,1))*EK</f>
        <v>16014.2224426301</v>
      </c>
      <c r="R31" s="38" t="n">
        <f aca="false">(Uplink_Monat*12*MAX(1,CEILING(Buchungsquote!V31*Bandbreite/Ueberbuchung/Uplink_Kap,1))+Strom_Standort+P31*Strom_GW+E31*Strom_Mast)*EK+Q31*Wartung</f>
        <v>1854.8766732789</v>
      </c>
    </row>
    <row r="32" customFormat="false" ht="15" hidden="false" customHeight="false" outlineLevel="0" collapsed="false">
      <c r="A32" s="23" t="n">
        <f aca="false">Anlagen!A32</f>
        <v>28</v>
      </c>
      <c r="B32" s="23" t="str">
        <f aca="false">Anlagen!B32</f>
        <v>Erdenglück</v>
      </c>
      <c r="C32" s="23" t="n">
        <f aca="false">IF(Anlagen!X32&lt;&gt;"",Anlagen!X32,MAX(2,CEILING(Anlagen!F32/Parz_je_AP,1)))</f>
        <v>28</v>
      </c>
      <c r="D32" s="23" t="n">
        <f aca="false">IF(Anlagen!Y32&lt;&gt;"",Anlagen!Y32,CEILING(C32/AP_je_Mast,1))</f>
        <v>13</v>
      </c>
      <c r="E32" s="23" t="n">
        <f aca="false">MAX(1,CEILING(D32*Anteil_Technik,1))</f>
        <v>7</v>
      </c>
      <c r="F32" s="37" t="n">
        <f aca="false">IF(Anlagen!Z32&lt;&gt;"",Anlagen!Z32,Leitung_k*SQRT(Anlagen!H32))</f>
        <v>562.496277907685</v>
      </c>
      <c r="G32" s="37" t="n">
        <f aca="false">F32*Faser_f</f>
        <v>933.743821326758</v>
      </c>
      <c r="H32" s="37" t="n">
        <f aca="false">F32*Kupfer_f</f>
        <v>596.246054582147</v>
      </c>
      <c r="I32" s="23" t="n">
        <f aca="false">ROUND(C32*Kabel_je_AP,0)</f>
        <v>12</v>
      </c>
      <c r="J32" s="38" t="n">
        <f aca="false">E32*(2*P_SFP+P_Flex+P_NT+P_Halter+P_Luefter+P_Spleiss+P_Saeule+P_Ueber)*EK</f>
        <v>6324.136</v>
      </c>
      <c r="K32" s="38" t="n">
        <f aca="false">(C32*P_AP+D32*(P_Mast+P_Fund+P_MontMast)+I32*2*P_Surge)*EK</f>
        <v>18913.86</v>
      </c>
      <c r="L32" s="38" t="n">
        <f aca="false">(G32*P_Faser+H32*P_Kupfer+F32*P_Tiefbau)*EK</f>
        <v>2518.17208701157</v>
      </c>
      <c r="M32" s="38" t="n">
        <f aca="false">Netz!H32+Netz!I32</f>
        <v>0</v>
      </c>
      <c r="N32" s="38" t="n">
        <f aca="false">J32+K32+L32+M32</f>
        <v>27756.1680870116</v>
      </c>
      <c r="O32" s="38" t="n">
        <f aca="false">E32*Strom_Mast*EK+N32*Wartung</f>
        <v>1249.18504261035</v>
      </c>
      <c r="P32" s="23" t="n">
        <f aca="false">CEILING(Anlagen!F32/PG,1)</f>
        <v>2</v>
      </c>
      <c r="Q32" s="38" t="n">
        <f aca="false">J32+K32+L32+(P_KVz+P_USV+P_MontStandort+P32*(P_UCG+P_DAC)+P_Agg*CEILING((P32+E32)/Ports_Agg,1))*EK</f>
        <v>31647.4680870116</v>
      </c>
      <c r="R32" s="38" t="n">
        <f aca="false">(Uplink_Monat*12*MAX(1,CEILING(Buchungsquote!V32*Bandbreite/Ueberbuchung/Uplink_Kap,1))+Strom_Standort+P32*Strom_GW+E32*Strom_Mast)*EK+Q32*Wartung</f>
        <v>2591.62404261035</v>
      </c>
    </row>
    <row r="33" customFormat="false" ht="15" hidden="false" customHeight="false" outlineLevel="0" collapsed="false">
      <c r="A33" s="23" t="n">
        <f aca="false">Anlagen!A33</f>
        <v>29</v>
      </c>
      <c r="B33" s="23" t="str">
        <f aca="false">Anlagen!B33</f>
        <v>Erntesegen</v>
      </c>
      <c r="C33" s="23" t="n">
        <f aca="false">IF(Anlagen!X33&lt;&gt;"",Anlagen!X33,MAX(2,CEILING(Anlagen!F33/Parz_je_AP,1)))</f>
        <v>26</v>
      </c>
      <c r="D33" s="23" t="n">
        <f aca="false">IF(Anlagen!Y33&lt;&gt;"",Anlagen!Y33,CEILING(C33/AP_je_Mast,1))</f>
        <v>12</v>
      </c>
      <c r="E33" s="23" t="n">
        <f aca="false">MAX(1,CEILING(D33*Anteil_Technik,1))</f>
        <v>6</v>
      </c>
      <c r="F33" s="37" t="n">
        <f aca="false">IF(Anlagen!Z33&lt;&gt;"",Anlagen!Z33,Leitung_k*SQRT(Anlagen!H33))</f>
        <v>584.221060014101</v>
      </c>
      <c r="G33" s="37" t="n">
        <f aca="false">F33*Faser_f</f>
        <v>969.806959623408</v>
      </c>
      <c r="H33" s="37" t="n">
        <f aca="false">F33*Kupfer_f</f>
        <v>619.274323614947</v>
      </c>
      <c r="I33" s="23" t="n">
        <f aca="false">ROUND(C33*Kabel_je_AP,0)</f>
        <v>11</v>
      </c>
      <c r="J33" s="38" t="n">
        <f aca="false">E33*(2*P_SFP+P_Flex+P_NT+P_Halter+P_Luefter+P_Spleiss+P_Saeule+P_Ueber)*EK</f>
        <v>5420.688</v>
      </c>
      <c r="K33" s="38" t="n">
        <f aca="false">(C33*P_AP+D33*(P_Mast+P_Fund+P_MontMast)+I33*2*P_Surge)*EK</f>
        <v>17502.52</v>
      </c>
      <c r="L33" s="38" t="n">
        <f aca="false">(G33*P_Faser+H33*P_Kupfer+F33*P_Tiefbau)*EK</f>
        <v>2615.42915704993</v>
      </c>
      <c r="M33" s="38" t="n">
        <f aca="false">Netz!H33+Netz!I33</f>
        <v>4164.80888580883</v>
      </c>
      <c r="N33" s="38" t="n">
        <f aca="false">J33+K33+L33+M33</f>
        <v>29703.4460428588</v>
      </c>
      <c r="O33" s="38" t="n">
        <f aca="false">E33*Strom_Mast*EK+N33*Wartung</f>
        <v>1248.10338128576</v>
      </c>
      <c r="P33" s="23" t="n">
        <f aca="false">CEILING(Anlagen!F33/PG,1)</f>
        <v>2</v>
      </c>
      <c r="Q33" s="38" t="n">
        <f aca="false">J33+K33+L33+(P_KVz+P_USV+P_MontStandort+P33*(P_UCG+P_DAC)+P_Agg*CEILING((P33+E33)/Ports_Agg,1))*EK</f>
        <v>29144.3371570499</v>
      </c>
      <c r="R33" s="38" t="n">
        <f aca="false">(Uplink_Monat*12*MAX(1,CEILING(Buchungsquote!V33*Bandbreite/Ueberbuchung/Uplink_Kap,1))+Strom_Standort+P33*Strom_GW+E33*Strom_Mast)*EK+Q33*Wartung</f>
        <v>2457.0301147115</v>
      </c>
    </row>
    <row r="34" customFormat="false" ht="15" hidden="false" customHeight="false" outlineLevel="0" collapsed="false">
      <c r="A34" s="23" t="n">
        <f aca="false">Anlagen!A34</f>
        <v>30</v>
      </c>
      <c r="B34" s="23" t="str">
        <f aca="false">Anlagen!B34</f>
        <v>Feierabend</v>
      </c>
      <c r="C34" s="23" t="n">
        <f aca="false">IF(Anlagen!X34&lt;&gt;"",Anlagen!X34,MAX(2,CEILING(Anlagen!F34/Parz_je_AP,1)))</f>
        <v>53</v>
      </c>
      <c r="D34" s="23" t="n">
        <f aca="false">IF(Anlagen!Y34&lt;&gt;"",Anlagen!Y34,CEILING(C34/AP_je_Mast,1))</f>
        <v>25</v>
      </c>
      <c r="E34" s="23" t="n">
        <f aca="false">MAX(1,CEILING(D34*Anteil_Technik,1))</f>
        <v>13</v>
      </c>
      <c r="F34" s="37" t="n">
        <f aca="false">IF(Anlagen!Z34&lt;&gt;"",Anlagen!Z34,Leitung_k*SQRT(Anlagen!H34))</f>
        <v>883.061173307943</v>
      </c>
      <c r="G34" s="37" t="n">
        <f aca="false">F34*Faser_f</f>
        <v>1465.88154769118</v>
      </c>
      <c r="H34" s="37" t="n">
        <f aca="false">F34*Kupfer_f</f>
        <v>936.044843706419</v>
      </c>
      <c r="I34" s="23" t="n">
        <f aca="false">ROUND(C34*Kabel_je_AP,0)</f>
        <v>22</v>
      </c>
      <c r="J34" s="38" t="n">
        <f aca="false">E34*(2*P_SFP+P_Flex+P_NT+P_Halter+P_Luefter+P_Spleiss+P_Saeule+P_Ueber)*EK</f>
        <v>11744.824</v>
      </c>
      <c r="K34" s="38" t="n">
        <f aca="false">(C34*P_AP+D34*(P_Mast+P_Fund+P_MontMast)+I34*2*P_Surge)*EK</f>
        <v>36090.32</v>
      </c>
      <c r="L34" s="38" t="n">
        <f aca="false">(G34*P_Faser+H34*P_Kupfer+F34*P_Tiefbau)*EK</f>
        <v>3953.27059944153</v>
      </c>
      <c r="M34" s="38" t="n">
        <f aca="false">Netz!H34+Netz!I34</f>
        <v>0</v>
      </c>
      <c r="N34" s="38" t="n">
        <f aca="false">J34+K34+L34+M34</f>
        <v>51788.4145994415</v>
      </c>
      <c r="O34" s="38" t="n">
        <f aca="false">E34*Strom_Mast*EK+N34*Wartung</f>
        <v>2327.15243798325</v>
      </c>
      <c r="P34" s="23" t="n">
        <f aca="false">CEILING(Anlagen!F34/PG,1)</f>
        <v>4</v>
      </c>
      <c r="Q34" s="38" t="n">
        <f aca="false">J34+K34+L34+(P_KVz+P_USV+P_MontStandort+P34*(P_UCG+P_DAC)+P_Agg*CEILING((P34+E34)/Ports_Agg,1))*EK</f>
        <v>56607.9145994415</v>
      </c>
      <c r="R34" s="38" t="n">
        <f aca="false">(Uplink_Monat*12*MAX(1,CEILING(Buchungsquote!V34*Bandbreite/Ueberbuchung/Uplink_Kap,1))+Strom_Standort+P34*Strom_GW+E34*Strom_Mast)*EK+Q34*Wartung</f>
        <v>3756.93743798325</v>
      </c>
    </row>
    <row r="35" customFormat="false" ht="15" hidden="false" customHeight="false" outlineLevel="0" collapsed="false">
      <c r="A35" s="23" t="n">
        <f aca="false">Anlagen!A35</f>
        <v>31</v>
      </c>
      <c r="B35" s="23" t="str">
        <f aca="false">Anlagen!B35</f>
        <v>Feldstraße</v>
      </c>
      <c r="C35" s="23" t="n">
        <f aca="false">IF(Anlagen!X35&lt;&gt;"",Anlagen!X35,MAX(2,CEILING(Anlagen!F35/Parz_je_AP,1)))</f>
        <v>19</v>
      </c>
      <c r="D35" s="23" t="n">
        <f aca="false">IF(Anlagen!Y35&lt;&gt;"",Anlagen!Y35,CEILING(C35/AP_je_Mast,1))</f>
        <v>9</v>
      </c>
      <c r="E35" s="23" t="n">
        <f aca="false">MAX(1,CEILING(D35*Anteil_Technik,1))</f>
        <v>5</v>
      </c>
      <c r="F35" s="37" t="n">
        <f aca="false">IF(Anlagen!Z35&lt;&gt;"",Anlagen!Z35,Leitung_k*SQRT(Anlagen!H35))</f>
        <v>525.261914739685</v>
      </c>
      <c r="G35" s="37" t="n">
        <f aca="false">F35*Faser_f</f>
        <v>871.934778467877</v>
      </c>
      <c r="H35" s="37" t="n">
        <f aca="false">F35*Kupfer_f</f>
        <v>556.777629624066</v>
      </c>
      <c r="I35" s="23" t="n">
        <f aca="false">ROUND(C35*Kabel_je_AP,0)</f>
        <v>8</v>
      </c>
      <c r="J35" s="38" t="n">
        <f aca="false">E35*(2*P_SFP+P_Flex+P_NT+P_Halter+P_Luefter+P_Spleiss+P_Saeule+P_Ueber)*EK</f>
        <v>4517.24</v>
      </c>
      <c r="K35" s="38" t="n">
        <f aca="false">(C35*P_AP+D35*(P_Mast+P_Fund+P_MontMast)+I35*2*P_Surge)*EK</f>
        <v>12971</v>
      </c>
      <c r="L35" s="38" t="n">
        <f aca="false">(G35*P_Faser+H35*P_Kupfer+F35*P_Tiefbau)*EK</f>
        <v>2351.48203466833</v>
      </c>
      <c r="M35" s="38" t="n">
        <f aca="false">Netz!H35+Netz!I35</f>
        <v>1673.5617390646</v>
      </c>
      <c r="N35" s="38" t="n">
        <f aca="false">J35+K35+L35+M35</f>
        <v>21513.2837737329</v>
      </c>
      <c r="O35" s="38" t="n">
        <f aca="false">E35*Strom_Mast*EK+N35*Wartung</f>
        <v>942.898513211988</v>
      </c>
      <c r="P35" s="23" t="n">
        <f aca="false">CEILING(Anlagen!F35/PG,1)</f>
        <v>2</v>
      </c>
      <c r="Q35" s="38" t="n">
        <f aca="false">J35+K35+L35+(P_KVz+P_USV+P_MontStandort+P35*(P_UCG+P_DAC)+P_Agg*CEILING((P35+E35)/Ports_Agg,1))*EK</f>
        <v>23445.4220346683</v>
      </c>
      <c r="R35" s="38" t="n">
        <f aca="false">(Uplink_Monat*12*MAX(1,CEILING(Buchungsquote!V35*Bandbreite/Ueberbuchung/Uplink_Kap,1))+Strom_Standort+P35*Strom_GW+E35*Strom_Mast)*EK+Q35*Wartung</f>
        <v>2226.56266104005</v>
      </c>
    </row>
    <row r="36" customFormat="false" ht="15" hidden="false" customHeight="false" outlineLevel="0" collapsed="false">
      <c r="A36" s="23" t="n">
        <f aca="false">Anlagen!A36</f>
        <v>32</v>
      </c>
      <c r="B36" s="23" t="str">
        <f aca="false">Anlagen!B36</f>
        <v>Finkenhain</v>
      </c>
      <c r="C36" s="23" t="n">
        <f aca="false">IF(Anlagen!X36&lt;&gt;"",Anlagen!X36,MAX(2,CEILING(Anlagen!F36/Parz_je_AP,1)))</f>
        <v>3</v>
      </c>
      <c r="D36" s="23" t="n">
        <f aca="false">IF(Anlagen!Y36&lt;&gt;"",Anlagen!Y36,CEILING(C36/AP_je_Mast,1))</f>
        <v>2</v>
      </c>
      <c r="E36" s="23" t="n">
        <f aca="false">MAX(1,CEILING(D36*Anteil_Technik,1))</f>
        <v>1</v>
      </c>
      <c r="F36" s="37" t="n">
        <f aca="false">IF(Anlagen!Z36&lt;&gt;"",Anlagen!Z36,Leitung_k*SQRT(Anlagen!H36))</f>
        <v>217.206875839601</v>
      </c>
      <c r="G36" s="37" t="n">
        <f aca="false">F36*Faser_f</f>
        <v>360.563413893738</v>
      </c>
      <c r="H36" s="37" t="n">
        <f aca="false">F36*Kupfer_f</f>
        <v>230.239288389977</v>
      </c>
      <c r="I36" s="23" t="n">
        <f aca="false">ROUND(C36*Kabel_je_AP,0)</f>
        <v>1</v>
      </c>
      <c r="J36" s="38" t="n">
        <f aca="false">E36*(2*P_SFP+P_Flex+P_NT+P_Halter+P_Luefter+P_Spleiss+P_Saeule+P_Ueber)*EK</f>
        <v>903.448</v>
      </c>
      <c r="K36" s="38" t="n">
        <f aca="false">(C36*P_AP+D36*(P_Mast+P_Fund+P_MontMast)+I36*2*P_Surge)*EK</f>
        <v>2496.62</v>
      </c>
      <c r="L36" s="38" t="n">
        <f aca="false">(G36*P_Faser+H36*P_Kupfer+F36*P_Tiefbau)*EK</f>
        <v>972.38739762121</v>
      </c>
      <c r="M36" s="38" t="n">
        <f aca="false">Netz!H36+Netz!I36</f>
        <v>1774.21969684308</v>
      </c>
      <c r="N36" s="38" t="n">
        <f aca="false">J36+K36+L36+M36</f>
        <v>6146.67509446429</v>
      </c>
      <c r="O36" s="38" t="n">
        <f aca="false">E36*Strom_Mast*EK+N36*Wartung</f>
        <v>243.900252833929</v>
      </c>
      <c r="P36" s="23" t="n">
        <f aca="false">CEILING(Anlagen!F36/PG,1)</f>
        <v>1</v>
      </c>
      <c r="Q36" s="38" t="n">
        <f aca="false">J36+K36+L36+(P_KVz+P_USV+P_MontStandort+P36*(P_UCG+P_DAC)+P_Agg*CEILING((P36+E36)/Ports_Agg,1))*EK</f>
        <v>7656.85539762121</v>
      </c>
      <c r="R36" s="38" t="n">
        <f aca="false">(Uplink_Monat*12*MAX(1,CEILING(Buchungsquote!V36*Bandbreite/Ueberbuchung/Uplink_Kap,1))+Strom_Standort+P36*Strom_GW+E36*Strom_Mast)*EK+Q36*Wartung</f>
        <v>1485.15566192864</v>
      </c>
    </row>
    <row r="37" customFormat="false" ht="15" hidden="false" customHeight="false" outlineLevel="0" collapsed="false">
      <c r="A37" s="23" t="n">
        <f aca="false">Anlagen!A37</f>
        <v>33</v>
      </c>
      <c r="B37" s="23" t="str">
        <f aca="false">Anlagen!B37</f>
        <v>Fohrder Landstraße</v>
      </c>
      <c r="C37" s="23" t="n">
        <f aca="false">IF(Anlagen!X37&lt;&gt;"",Anlagen!X37,MAX(2,CEILING(Anlagen!F37/Parz_je_AP,1)))</f>
        <v>36</v>
      </c>
      <c r="D37" s="23" t="n">
        <f aca="false">IF(Anlagen!Y37&lt;&gt;"",Anlagen!Y37,CEILING(C37/AP_je_Mast,1))</f>
        <v>17</v>
      </c>
      <c r="E37" s="23" t="n">
        <f aca="false">MAX(1,CEILING(D37*Anteil_Technik,1))</f>
        <v>9</v>
      </c>
      <c r="F37" s="37" t="n">
        <f aca="false">IF(Anlagen!Z37&lt;&gt;"",Anlagen!Z37,Leitung_k*SQRT(Anlagen!H37))</f>
        <v>750.11575737882</v>
      </c>
      <c r="G37" s="37" t="n">
        <f aca="false">F37*Faser_f</f>
        <v>1245.19215724884</v>
      </c>
      <c r="H37" s="37" t="n">
        <f aca="false">F37*Kupfer_f</f>
        <v>795.122702821549</v>
      </c>
      <c r="I37" s="23" t="n">
        <f aca="false">ROUND(C37*Kabel_je_AP,0)</f>
        <v>15</v>
      </c>
      <c r="J37" s="38" t="n">
        <f aca="false">E37*(2*P_SFP+P_Flex+P_NT+P_Halter+P_Luefter+P_Spleiss+P_Saeule+P_Ueber)*EK</f>
        <v>8131.032</v>
      </c>
      <c r="K37" s="38" t="n">
        <f aca="false">(C37*P_AP+D37*(P_Mast+P_Fund+P_MontMast)+I37*2*P_Surge)*EK</f>
        <v>24530.66</v>
      </c>
      <c r="L37" s="38" t="n">
        <f aca="false">(G37*P_Faser+H37*P_Kupfer+F37*P_Tiefbau)*EK</f>
        <v>3358.10322031835</v>
      </c>
      <c r="M37" s="38" t="n">
        <f aca="false">Netz!H37+Netz!I37</f>
        <v>0</v>
      </c>
      <c r="N37" s="38" t="n">
        <f aca="false">J37+K37+L37+M37</f>
        <v>36019.7952203184</v>
      </c>
      <c r="O37" s="38" t="n">
        <f aca="false">E37*Strom_Mast*EK+N37*Wartung</f>
        <v>1616.09385660955</v>
      </c>
      <c r="P37" s="23" t="n">
        <f aca="false">CEILING(Anlagen!F37/PG,1)</f>
        <v>3</v>
      </c>
      <c r="Q37" s="38" t="n">
        <f aca="false">J37+K37+L37+(P_KVz+P_USV+P_MontStandort+P37*(P_UCG+P_DAC)+P_Agg*CEILING((P37+E37)/Ports_Agg,1))*EK</f>
        <v>40232.3952203184</v>
      </c>
      <c r="R37" s="38" t="n">
        <f aca="false">(Uplink_Monat*12*MAX(1,CEILING(Buchungsquote!V37*Bandbreite/Ueberbuchung/Uplink_Kap,1))+Strom_Standort+P37*Strom_GW+E37*Strom_Mast)*EK+Q37*Wartung</f>
        <v>2997.92185660955</v>
      </c>
    </row>
    <row r="38" customFormat="false" ht="15" hidden="false" customHeight="false" outlineLevel="0" collapsed="false">
      <c r="A38" s="23" t="n">
        <f aca="false">Anlagen!A38</f>
        <v>34</v>
      </c>
      <c r="B38" s="23" t="str">
        <f aca="false">Anlagen!B38</f>
        <v>Freiheit</v>
      </c>
      <c r="C38" s="23" t="n">
        <f aca="false">IF(Anlagen!X38&lt;&gt;"",Anlagen!X38,MAX(2,CEILING(Anlagen!F38/Parz_je_AP,1)))</f>
        <v>16</v>
      </c>
      <c r="D38" s="23" t="n">
        <f aca="false">IF(Anlagen!Y38&lt;&gt;"",Anlagen!Y38,CEILING(C38/AP_je_Mast,1))</f>
        <v>8</v>
      </c>
      <c r="E38" s="23" t="n">
        <f aca="false">MAX(1,CEILING(D38*Anteil_Technik,1))</f>
        <v>4</v>
      </c>
      <c r="F38" s="37" t="n">
        <f aca="false">IF(Anlagen!Z38&lt;&gt;"",Anlagen!Z38,Leitung_k*SQRT(Anlagen!H38))</f>
        <v>476.722801535651</v>
      </c>
      <c r="G38" s="37" t="n">
        <f aca="false">F38*Faser_f</f>
        <v>791.359850549181</v>
      </c>
      <c r="H38" s="37" t="n">
        <f aca="false">F38*Kupfer_f</f>
        <v>505.32616962779</v>
      </c>
      <c r="I38" s="23" t="n">
        <f aca="false">ROUND(C38*Kabel_je_AP,0)</f>
        <v>7</v>
      </c>
      <c r="J38" s="38" t="n">
        <f aca="false">E38*(2*P_SFP+P_Flex+P_NT+P_Halter+P_Luefter+P_Spleiss+P_Saeule+P_Ueber)*EK</f>
        <v>3613.792</v>
      </c>
      <c r="K38" s="38" t="n">
        <f aca="false">(C38*P_AP+D38*(P_Mast+P_Fund+P_MontMast)+I38*2*P_Surge)*EK</f>
        <v>11262.16</v>
      </c>
      <c r="L38" s="38" t="n">
        <f aca="false">(G38*P_Faser+H38*P_Kupfer+F38*P_Tiefbau)*EK</f>
        <v>2134.18310345877</v>
      </c>
      <c r="M38" s="38" t="n">
        <f aca="false">Netz!H38+Netz!I38</f>
        <v>3175.29110122588</v>
      </c>
      <c r="N38" s="38" t="n">
        <f aca="false">J38+K38+L38+M38</f>
        <v>20185.4262046847</v>
      </c>
      <c r="O38" s="38" t="n">
        <f aca="false">E38*Strom_Mast*EK+N38*Wartung</f>
        <v>843.56278614054</v>
      </c>
      <c r="P38" s="23" t="n">
        <f aca="false">CEILING(Anlagen!F38/PG,1)</f>
        <v>1</v>
      </c>
      <c r="Q38" s="38" t="n">
        <f aca="false">J38+K38+L38+(P_KVz+P_USV+P_MontStandort+P38*(P_UCG+P_DAC)+P_Agg*CEILING((P38+E38)/Ports_Agg,1))*EK</f>
        <v>20294.5351034588</v>
      </c>
      <c r="R38" s="38" t="n">
        <f aca="false">(Uplink_Monat*12*MAX(1,CEILING(Buchungsquote!V38*Bandbreite/Ueberbuchung/Uplink_Kap,1))+Strom_Standort+P38*Strom_GW+E38*Strom_Mast)*EK+Q38*Wartung</f>
        <v>2042.78605310376</v>
      </c>
    </row>
    <row r="39" customFormat="false" ht="15" hidden="false" customHeight="false" outlineLevel="0" collapsed="false">
      <c r="A39" s="23" t="n">
        <f aca="false">Anlagen!A39</f>
        <v>35</v>
      </c>
      <c r="B39" s="23" t="str">
        <f aca="false">Anlagen!B39</f>
        <v>Freizeit</v>
      </c>
      <c r="C39" s="23" t="n">
        <f aca="false">IF(Anlagen!X39&lt;&gt;"",Anlagen!X39,MAX(2,CEILING(Anlagen!F39/Parz_je_AP,1)))</f>
        <v>18</v>
      </c>
      <c r="D39" s="23" t="n">
        <f aca="false">IF(Anlagen!Y39&lt;&gt;"",Anlagen!Y39,CEILING(C39/AP_je_Mast,1))</f>
        <v>9</v>
      </c>
      <c r="E39" s="23" t="n">
        <f aca="false">MAX(1,CEILING(D39*Anteil_Technik,1))</f>
        <v>5</v>
      </c>
      <c r="F39" s="37" t="n">
        <f aca="false">IF(Anlagen!Z39&lt;&gt;"",Anlagen!Z39,Leitung_k*SQRT(Anlagen!H39))</f>
        <v>504.19065034568</v>
      </c>
      <c r="G39" s="37" t="n">
        <f aca="false">F39*Faser_f</f>
        <v>836.956479573829</v>
      </c>
      <c r="H39" s="37" t="n">
        <f aca="false">F39*Kupfer_f</f>
        <v>534.442089366421</v>
      </c>
      <c r="I39" s="23" t="n">
        <f aca="false">ROUND(C39*Kabel_je_AP,0)</f>
        <v>8</v>
      </c>
      <c r="J39" s="38" t="n">
        <f aca="false">E39*(2*P_SFP+P_Flex+P_NT+P_Halter+P_Luefter+P_Spleiss+P_Saeule+P_Ueber)*EK</f>
        <v>4517.24</v>
      </c>
      <c r="K39" s="38" t="n">
        <f aca="false">(C39*P_AP+D39*(P_Mast+P_Fund+P_MontMast)+I39*2*P_Surge)*EK</f>
        <v>12673.5</v>
      </c>
      <c r="L39" s="38" t="n">
        <f aca="false">(G39*P_Faser+H39*P_Kupfer+F39*P_Tiefbau)*EK</f>
        <v>2257.15061965453</v>
      </c>
      <c r="M39" s="38" t="n">
        <f aca="false">Netz!H39+Netz!I39</f>
        <v>1689.28097055651</v>
      </c>
      <c r="N39" s="38" t="n">
        <f aca="false">J39+K39+L39+M39</f>
        <v>21137.171590211</v>
      </c>
      <c r="O39" s="38" t="n">
        <f aca="false">E39*Strom_Mast*EK+N39*Wartung</f>
        <v>931.615147706331</v>
      </c>
      <c r="P39" s="23" t="n">
        <f aca="false">CEILING(Anlagen!F39/PG,1)</f>
        <v>2</v>
      </c>
      <c r="Q39" s="38" t="n">
        <f aca="false">J39+K39+L39+(P_KVz+P_USV+P_MontStandort+P39*(P_UCG+P_DAC)+P_Agg*CEILING((P39+E39)/Ports_Agg,1))*EK</f>
        <v>23053.5906196545</v>
      </c>
      <c r="R39" s="38" t="n">
        <f aca="false">(Uplink_Monat*12*MAX(1,CEILING(Buchungsquote!V39*Bandbreite/Ueberbuchung/Uplink_Kap,1))+Strom_Standort+P39*Strom_GW+E39*Strom_Mast)*EK+Q39*Wartung</f>
        <v>2214.80771858964</v>
      </c>
    </row>
    <row r="40" customFormat="false" ht="15" hidden="false" customHeight="false" outlineLevel="0" collapsed="false">
      <c r="A40" s="23" t="n">
        <f aca="false">Anlagen!A40</f>
        <v>36</v>
      </c>
      <c r="B40" s="23" t="str">
        <f aca="false">Anlagen!B40</f>
        <v>Friedland</v>
      </c>
      <c r="C40" s="23" t="n">
        <f aca="false">IF(Anlagen!X40&lt;&gt;"",Anlagen!X40,MAX(2,CEILING(Anlagen!F40/Parz_je_AP,1)))</f>
        <v>18</v>
      </c>
      <c r="D40" s="23" t="n">
        <f aca="false">IF(Anlagen!Y40&lt;&gt;"",Anlagen!Y40,CEILING(C40/AP_je_Mast,1))</f>
        <v>9</v>
      </c>
      <c r="E40" s="23" t="n">
        <f aca="false">MAX(1,CEILING(D40*Anteil_Technik,1))</f>
        <v>5</v>
      </c>
      <c r="F40" s="37" t="n">
        <f aca="false">IF(Anlagen!Z40&lt;&gt;"",Anlagen!Z40,Leitung_k*SQRT(Anlagen!H40))</f>
        <v>483.20265101094</v>
      </c>
      <c r="G40" s="37" t="n">
        <f aca="false">F40*Faser_f</f>
        <v>802.11640067816</v>
      </c>
      <c r="H40" s="37" t="n">
        <f aca="false">F40*Kupfer_f</f>
        <v>512.194810071596</v>
      </c>
      <c r="I40" s="23" t="n">
        <f aca="false">ROUND(C40*Kabel_je_AP,0)</f>
        <v>8</v>
      </c>
      <c r="J40" s="38" t="n">
        <f aca="false">E40*(2*P_SFP+P_Flex+P_NT+P_Halter+P_Luefter+P_Spleiss+P_Saeule+P_Ueber)*EK</f>
        <v>4517.24</v>
      </c>
      <c r="K40" s="38" t="n">
        <f aca="false">(C40*P_AP+D40*(P_Mast+P_Fund+P_MontMast)+I40*2*P_Surge)*EK</f>
        <v>12673.5</v>
      </c>
      <c r="L40" s="38" t="n">
        <f aca="false">(G40*P_Faser+H40*P_Kupfer+F40*P_Tiefbau)*EK</f>
        <v>2163.19196399275</v>
      </c>
      <c r="M40" s="38" t="n">
        <f aca="false">Netz!H40+Netz!I40</f>
        <v>2813.79359913694</v>
      </c>
      <c r="N40" s="38" t="n">
        <f aca="false">J40+K40+L40+M40</f>
        <v>22167.7255631297</v>
      </c>
      <c r="O40" s="38" t="n">
        <f aca="false">E40*Strom_Mast*EK+N40*Wartung</f>
        <v>962.531766893891</v>
      </c>
      <c r="P40" s="23" t="n">
        <f aca="false">CEILING(Anlagen!F40/PG,1)</f>
        <v>2</v>
      </c>
      <c r="Q40" s="38" t="n">
        <f aca="false">J40+K40+L40+(P_KVz+P_USV+P_MontStandort+P40*(P_UCG+P_DAC)+P_Agg*CEILING((P40+E40)/Ports_Agg,1))*EK</f>
        <v>22959.6319639928</v>
      </c>
      <c r="R40" s="38" t="n">
        <f aca="false">(Uplink_Monat*12*MAX(1,CEILING(Buchungsquote!V40*Bandbreite/Ueberbuchung/Uplink_Kap,1))+Strom_Standort+P40*Strom_GW+E40*Strom_Mast)*EK+Q40*Wartung</f>
        <v>2211.98895891978</v>
      </c>
    </row>
    <row r="41" customFormat="false" ht="15" hidden="false" customHeight="false" outlineLevel="0" collapsed="false">
      <c r="A41" s="23" t="n">
        <f aca="false">Anlagen!A41</f>
        <v>37</v>
      </c>
      <c r="B41" s="23" t="str">
        <f aca="false">Anlagen!B41</f>
        <v>Frisch Auf</v>
      </c>
      <c r="C41" s="23" t="n">
        <f aca="false">IF(Anlagen!X41&lt;&gt;"",Anlagen!X41,MAX(2,CEILING(Anlagen!F41/Parz_je_AP,1)))</f>
        <v>6</v>
      </c>
      <c r="D41" s="23" t="n">
        <f aca="false">IF(Anlagen!Y41&lt;&gt;"",Anlagen!Y41,CEILING(C41/AP_je_Mast,1))</f>
        <v>3</v>
      </c>
      <c r="E41" s="23" t="n">
        <f aca="false">MAX(1,CEILING(D41*Anteil_Technik,1))</f>
        <v>2</v>
      </c>
      <c r="F41" s="37" t="n">
        <f aca="false">IF(Anlagen!Z41&lt;&gt;"",Anlagen!Z41,Leitung_k*SQRT(Anlagen!H41))</f>
        <v>279.573933999577</v>
      </c>
      <c r="G41" s="37" t="n">
        <f aca="false">F41*Faser_f</f>
        <v>464.092730439298</v>
      </c>
      <c r="H41" s="37" t="n">
        <f aca="false">F41*Kupfer_f</f>
        <v>296.348370039552</v>
      </c>
      <c r="I41" s="23" t="n">
        <f aca="false">ROUND(C41*Kabel_je_AP,0)</f>
        <v>3</v>
      </c>
      <c r="J41" s="38" t="n">
        <f aca="false">E41*(2*P_SFP+P_Flex+P_NT+P_Halter+P_Luefter+P_Spleiss+P_Saeule+P_Ueber)*EK</f>
        <v>1806.896</v>
      </c>
      <c r="K41" s="38" t="n">
        <f aca="false">(C41*P_AP+D41*(P_Mast+P_Fund+P_MontMast)+I41*2*P_Surge)*EK</f>
        <v>4234.02</v>
      </c>
      <c r="L41" s="38" t="n">
        <f aca="false">(G41*P_Faser+H41*P_Kupfer+F41*P_Tiefbau)*EK</f>
        <v>1251.59099625063</v>
      </c>
      <c r="M41" s="38" t="n">
        <f aca="false">Netz!H41+Netz!I41</f>
        <v>1964.95847117234</v>
      </c>
      <c r="N41" s="38" t="n">
        <f aca="false">J41+K41+L41+M41</f>
        <v>9257.46546742297</v>
      </c>
      <c r="O41" s="38" t="n">
        <f aca="false">E41*Strom_Mast*EK+N41*Wartung</f>
        <v>396.723964022689</v>
      </c>
      <c r="P41" s="23" t="n">
        <f aca="false">CEILING(Anlagen!F41/PG,1)</f>
        <v>1</v>
      </c>
      <c r="Q41" s="38" t="n">
        <f aca="false">J41+K41+L41+(P_KVz+P_USV+P_MontStandort+P41*(P_UCG+P_DAC)+P_Agg*CEILING((P41+E41)/Ports_Agg,1))*EK</f>
        <v>10576.9069962506</v>
      </c>
      <c r="R41" s="38" t="n">
        <f aca="false">(Uplink_Monat*12*MAX(1,CEILING(Buchungsquote!V41*Bandbreite/Ueberbuchung/Uplink_Kap,1))+Strom_Standort+P41*Strom_GW+E41*Strom_Mast)*EK+Q41*Wartung</f>
        <v>1632.25720988752</v>
      </c>
    </row>
    <row r="42" customFormat="false" ht="15" hidden="false" customHeight="false" outlineLevel="0" collapsed="false">
      <c r="A42" s="23" t="n">
        <f aca="false">Anlagen!A42</f>
        <v>38</v>
      </c>
      <c r="B42" s="23" t="str">
        <f aca="false">Anlagen!B42</f>
        <v>Frohsinn</v>
      </c>
      <c r="C42" s="23" t="n">
        <f aca="false">IF(Anlagen!X42&lt;&gt;"",Anlagen!X42,MAX(2,CEILING(Anlagen!F42/Parz_je_AP,1)))</f>
        <v>15</v>
      </c>
      <c r="D42" s="23" t="n">
        <f aca="false">IF(Anlagen!Y42&lt;&gt;"",Anlagen!Y42,CEILING(C42/AP_je_Mast,1))</f>
        <v>7</v>
      </c>
      <c r="E42" s="23" t="n">
        <f aca="false">MAX(1,CEILING(D42*Anteil_Technik,1))</f>
        <v>4</v>
      </c>
      <c r="F42" s="37" t="n">
        <f aca="false">IF(Anlagen!Z42&lt;&gt;"",Anlagen!Z42,Leitung_k*SQRT(Anlagen!H42))</f>
        <v>484.081764407626</v>
      </c>
      <c r="G42" s="37" t="n">
        <f aca="false">F42*Faser_f</f>
        <v>803.575728916659</v>
      </c>
      <c r="H42" s="37" t="n">
        <f aca="false">F42*Kupfer_f</f>
        <v>513.126670272083</v>
      </c>
      <c r="I42" s="23" t="n">
        <f aca="false">ROUND(C42*Kabel_je_AP,0)</f>
        <v>6</v>
      </c>
      <c r="J42" s="38" t="n">
        <f aca="false">E42*(2*P_SFP+P_Flex+P_NT+P_Halter+P_Luefter+P_Spleiss+P_Saeule+P_Ueber)*EK</f>
        <v>3613.792</v>
      </c>
      <c r="K42" s="38" t="n">
        <f aca="false">(C42*P_AP+D42*(P_Mast+P_Fund+P_MontMast)+I42*2*P_Surge)*EK</f>
        <v>10148.32</v>
      </c>
      <c r="L42" s="38" t="n">
        <f aca="false">(G42*P_Faser+H42*P_Kupfer+F42*P_Tiefbau)*EK</f>
        <v>2167.12756126477</v>
      </c>
      <c r="M42" s="38" t="n">
        <f aca="false">Netz!H42+Netz!I42</f>
        <v>2864.96197515555</v>
      </c>
      <c r="N42" s="38" t="n">
        <f aca="false">J42+K42+L42+M42</f>
        <v>18794.2015364203</v>
      </c>
      <c r="O42" s="38" t="n">
        <f aca="false">E42*Strom_Mast*EK+N42*Wartung</f>
        <v>801.82604609261</v>
      </c>
      <c r="P42" s="23" t="n">
        <f aca="false">CEILING(Anlagen!F42/PG,1)</f>
        <v>1</v>
      </c>
      <c r="Q42" s="38" t="n">
        <f aca="false">J42+K42+L42+(P_KVz+P_USV+P_MontStandort+P42*(P_UCG+P_DAC)+P_Agg*CEILING((P42+E42)/Ports_Agg,1))*EK</f>
        <v>19213.6395612648</v>
      </c>
      <c r="R42" s="38" t="n">
        <f aca="false">(Uplink_Monat*12*MAX(1,CEILING(Buchungsquote!V42*Bandbreite/Ueberbuchung/Uplink_Kap,1))+Strom_Standort+P42*Strom_GW+E42*Strom_Mast)*EK+Q42*Wartung</f>
        <v>2010.35918683794</v>
      </c>
    </row>
    <row r="43" customFormat="false" ht="15" hidden="false" customHeight="false" outlineLevel="0" collapsed="false">
      <c r="A43" s="23" t="n">
        <f aca="false">Anlagen!A43</f>
        <v>39</v>
      </c>
      <c r="B43" s="23" t="str">
        <f aca="false">Anlagen!B43</f>
        <v>Gartenfreunde Brielower Aue</v>
      </c>
      <c r="C43" s="23" t="n">
        <f aca="false">IF(Anlagen!X43&lt;&gt;"",Anlagen!X43,MAX(2,CEILING(Anlagen!F43/Parz_je_AP,1)))</f>
        <v>20</v>
      </c>
      <c r="D43" s="23" t="n">
        <f aca="false">IF(Anlagen!Y43&lt;&gt;"",Anlagen!Y43,CEILING(C43/AP_je_Mast,1))</f>
        <v>10</v>
      </c>
      <c r="E43" s="23" t="n">
        <f aca="false">MAX(1,CEILING(D43*Anteil_Technik,1))</f>
        <v>5</v>
      </c>
      <c r="F43" s="37" t="n">
        <f aca="false">IF(Anlagen!Z43&lt;&gt;"",Anlagen!Z43,Leitung_k*SQRT(Anlagen!H43))</f>
        <v>554.517003082863</v>
      </c>
      <c r="G43" s="37" t="n">
        <f aca="false">F43*Faser_f</f>
        <v>920.498225117553</v>
      </c>
      <c r="H43" s="37" t="n">
        <f aca="false">F43*Kupfer_f</f>
        <v>587.788023267835</v>
      </c>
      <c r="I43" s="23" t="n">
        <f aca="false">ROUND(C43*Kabel_je_AP,0)</f>
        <v>8</v>
      </c>
      <c r="J43" s="38" t="n">
        <f aca="false">E43*(2*P_SFP+P_Flex+P_NT+P_Halter+P_Luefter+P_Spleiss+P_Saeule+P_Ueber)*EK</f>
        <v>4517.24</v>
      </c>
      <c r="K43" s="38" t="n">
        <f aca="false">(C43*P_AP+D43*(P_Mast+P_Fund+P_MontMast)+I43*2*P_Surge)*EK</f>
        <v>14056.28</v>
      </c>
      <c r="L43" s="38" t="n">
        <f aca="false">(G43*P_Faser+H43*P_Kupfer+F43*P_Tiefbau)*EK</f>
        <v>2482.4506290613</v>
      </c>
      <c r="M43" s="38" t="n">
        <f aca="false">Netz!H43+Netz!I43</f>
        <v>3536.418414509</v>
      </c>
      <c r="N43" s="38" t="n">
        <f aca="false">J43+K43+L43+M43</f>
        <v>24592.3890435703</v>
      </c>
      <c r="O43" s="38" t="n">
        <f aca="false">E43*Strom_Mast*EK+N43*Wartung</f>
        <v>1035.27167130711</v>
      </c>
      <c r="P43" s="23" t="n">
        <f aca="false">CEILING(Anlagen!F43/PG,1)</f>
        <v>2</v>
      </c>
      <c r="Q43" s="38" t="n">
        <f aca="false">J43+K43+L43+(P_KVz+P_USV+P_MontStandort+P43*(P_UCG+P_DAC)+P_Agg*CEILING((P43+E43)/Ports_Agg,1))*EK</f>
        <v>24661.6706290613</v>
      </c>
      <c r="R43" s="38" t="n">
        <f aca="false">(Uplink_Monat*12*MAX(1,CEILING(Buchungsquote!V43*Bandbreite/Ueberbuchung/Uplink_Kap,1))+Strom_Standort+P43*Strom_GW+E43*Strom_Mast)*EK+Q43*Wartung</f>
        <v>2263.05011887184</v>
      </c>
    </row>
    <row r="44" customFormat="false" ht="15" hidden="false" customHeight="false" outlineLevel="0" collapsed="false">
      <c r="A44" s="23" t="n">
        <f aca="false">Anlagen!A44</f>
        <v>40</v>
      </c>
      <c r="B44" s="23" t="str">
        <f aca="false">Anlagen!B44</f>
        <v>Glück Auf</v>
      </c>
      <c r="C44" s="23" t="n">
        <f aca="false">IF(Anlagen!X44&lt;&gt;"",Anlagen!X44,MAX(2,CEILING(Anlagen!F44/Parz_je_AP,1)))</f>
        <v>10</v>
      </c>
      <c r="D44" s="23" t="n">
        <f aca="false">IF(Anlagen!Y44&lt;&gt;"",Anlagen!Y44,CEILING(C44/AP_je_Mast,1))</f>
        <v>5</v>
      </c>
      <c r="E44" s="23" t="n">
        <f aca="false">MAX(1,CEILING(D44*Anteil_Technik,1))</f>
        <v>3</v>
      </c>
      <c r="F44" s="37" t="n">
        <f aca="false">IF(Anlagen!Z44&lt;&gt;"",Anlagen!Z44,Leitung_k*SQRT(Anlagen!H44))</f>
        <v>396.272376508886</v>
      </c>
      <c r="G44" s="37" t="n">
        <f aca="false">F44*Faser_f</f>
        <v>657.81214500475</v>
      </c>
      <c r="H44" s="37" t="n">
        <f aca="false">F44*Kupfer_f</f>
        <v>420.048719099419</v>
      </c>
      <c r="I44" s="23" t="n">
        <f aca="false">ROUND(C44*Kabel_je_AP,0)</f>
        <v>4</v>
      </c>
      <c r="J44" s="38" t="n">
        <f aca="false">E44*(2*P_SFP+P_Flex+P_NT+P_Halter+P_Luefter+P_Spleiss+P_Saeule+P_Ueber)*EK</f>
        <v>2710.344</v>
      </c>
      <c r="K44" s="38" t="n">
        <f aca="false">(C44*P_AP+D44*(P_Mast+P_Fund+P_MontMast)+I44*2*P_Surge)*EK</f>
        <v>7028.14</v>
      </c>
      <c r="L44" s="38" t="n">
        <f aca="false">(G44*P_Faser+H44*P_Kupfer+F44*P_Tiefbau)*EK</f>
        <v>1774.02424970745</v>
      </c>
      <c r="M44" s="38" t="n">
        <f aca="false">Netz!H44+Netz!I44</f>
        <v>1941.78640942645</v>
      </c>
      <c r="N44" s="38" t="n">
        <f aca="false">J44+K44+L44+M44</f>
        <v>13454.2946591339</v>
      </c>
      <c r="O44" s="38" t="n">
        <f aca="false">E44*Strom_Mast*EK+N44*Wartung</f>
        <v>582.128839774017</v>
      </c>
      <c r="P44" s="23" t="n">
        <f aca="false">CEILING(Anlagen!F44/PG,1)</f>
        <v>1</v>
      </c>
      <c r="Q44" s="38" t="n">
        <f aca="false">J44+K44+L44+(P_KVz+P_USV+P_MontStandort+P44*(P_UCG+P_DAC)+P_Agg*CEILING((P44+E44)/Ports_Agg,1))*EK</f>
        <v>14796.9082497074</v>
      </c>
      <c r="R44" s="38" t="n">
        <f aca="false">(Uplink_Monat*12*MAX(1,CEILING(Buchungsquote!V44*Bandbreite/Ueberbuchung/Uplink_Kap,1))+Strom_Standort+P44*Strom_GW+E44*Strom_Mast)*EK+Q44*Wartung</f>
        <v>1818.35724749122</v>
      </c>
    </row>
    <row r="45" customFormat="false" ht="15" hidden="false" customHeight="false" outlineLevel="0" collapsed="false">
      <c r="A45" s="23" t="n">
        <f aca="false">Anlagen!A45</f>
        <v>41</v>
      </c>
      <c r="B45" s="23" t="str">
        <f aca="false">Anlagen!B45</f>
        <v>Glück im Winkel</v>
      </c>
      <c r="C45" s="23" t="n">
        <f aca="false">IF(Anlagen!X45&lt;&gt;"",Anlagen!X45,MAX(2,CEILING(Anlagen!F45/Parz_je_AP,1)))</f>
        <v>39</v>
      </c>
      <c r="D45" s="23" t="n">
        <f aca="false">IF(Anlagen!Y45&lt;&gt;"",Anlagen!Y45,CEILING(C45/AP_je_Mast,1))</f>
        <v>18</v>
      </c>
      <c r="E45" s="23" t="n">
        <f aca="false">MAX(1,CEILING(D45*Anteil_Technik,1))</f>
        <v>9</v>
      </c>
      <c r="F45" s="37" t="n">
        <f aca="false">IF(Anlagen!Z45&lt;&gt;"",Anlagen!Z45,Leitung_k*SQRT(Anlagen!H45))</f>
        <v>871.591660233162</v>
      </c>
      <c r="G45" s="37" t="n">
        <f aca="false">F45*Faser_f</f>
        <v>1446.84215598705</v>
      </c>
      <c r="H45" s="37" t="n">
        <f aca="false">F45*Kupfer_f</f>
        <v>923.887159847152</v>
      </c>
      <c r="I45" s="23" t="n">
        <f aca="false">ROUND(C45*Kabel_je_AP,0)</f>
        <v>16</v>
      </c>
      <c r="J45" s="38" t="n">
        <f aca="false">E45*(2*P_SFP+P_Flex+P_NT+P_Halter+P_Luefter+P_Spleiss+P_Saeule+P_Ueber)*EK</f>
        <v>8131.032</v>
      </c>
      <c r="K45" s="38" t="n">
        <f aca="false">(C45*P_AP+D45*(P_Mast+P_Fund+P_MontMast)+I45*2*P_Surge)*EK</f>
        <v>26239.5</v>
      </c>
      <c r="L45" s="38" t="n">
        <f aca="false">(G45*P_Faser+H45*P_Kupfer+F45*P_Tiefbau)*EK</f>
        <v>3901.92411269862</v>
      </c>
      <c r="M45" s="38" t="n">
        <f aca="false">Netz!H45+Netz!I45</f>
        <v>0</v>
      </c>
      <c r="N45" s="38" t="n">
        <f aca="false">J45+K45+L45+M45</f>
        <v>38272.4561126986</v>
      </c>
      <c r="O45" s="38" t="n">
        <f aca="false">E45*Strom_Mast*EK+N45*Wartung</f>
        <v>1683.67368338096</v>
      </c>
      <c r="P45" s="23" t="n">
        <f aca="false">CEILING(Anlagen!F45/PG,1)</f>
        <v>3</v>
      </c>
      <c r="Q45" s="38" t="n">
        <f aca="false">J45+K45+L45+(P_KVz+P_USV+P_MontStandort+P45*(P_UCG+P_DAC)+P_Agg*CEILING((P45+E45)/Ports_Agg,1))*EK</f>
        <v>42485.0561126986</v>
      </c>
      <c r="R45" s="38" t="n">
        <f aca="false">(Uplink_Monat*12*MAX(1,CEILING(Buchungsquote!V45*Bandbreite/Ueberbuchung/Uplink_Kap,1))+Strom_Standort+P45*Strom_GW+E45*Strom_Mast)*EK+Q45*Wartung</f>
        <v>3065.50168338096</v>
      </c>
    </row>
    <row r="46" customFormat="false" ht="15" hidden="false" customHeight="false" outlineLevel="0" collapsed="false">
      <c r="A46" s="23" t="n">
        <f aca="false">Anlagen!A46</f>
        <v>42</v>
      </c>
      <c r="B46" s="23" t="str">
        <f aca="false">Anlagen!B46</f>
        <v>Grüne Ecke</v>
      </c>
      <c r="C46" s="23" t="n">
        <f aca="false">IF(Anlagen!X46&lt;&gt;"",Anlagen!X46,MAX(2,CEILING(Anlagen!F46/Parz_je_AP,1)))</f>
        <v>14</v>
      </c>
      <c r="D46" s="23" t="n">
        <f aca="false">IF(Anlagen!Y46&lt;&gt;"",Anlagen!Y46,CEILING(C46/AP_je_Mast,1))</f>
        <v>7</v>
      </c>
      <c r="E46" s="23" t="n">
        <f aca="false">MAX(1,CEILING(D46*Anteil_Technik,1))</f>
        <v>4</v>
      </c>
      <c r="F46" s="37" t="n">
        <f aca="false">IF(Anlagen!Z46&lt;&gt;"",Anlagen!Z46,Leitung_k*SQRT(Anlagen!H46))</f>
        <v>487.291611345814</v>
      </c>
      <c r="G46" s="37" t="n">
        <f aca="false">F46*Faser_f</f>
        <v>808.904074834052</v>
      </c>
      <c r="H46" s="37" t="n">
        <f aca="false">F46*Kupfer_f</f>
        <v>516.529108026563</v>
      </c>
      <c r="I46" s="23" t="n">
        <f aca="false">ROUND(C46*Kabel_je_AP,0)</f>
        <v>6</v>
      </c>
      <c r="J46" s="38" t="n">
        <f aca="false">E46*(2*P_SFP+P_Flex+P_NT+P_Halter+P_Luefter+P_Spleiss+P_Saeule+P_Ueber)*EK</f>
        <v>3613.792</v>
      </c>
      <c r="K46" s="38" t="n">
        <f aca="false">(C46*P_AP+D46*(P_Mast+P_Fund+P_MontMast)+I46*2*P_Surge)*EK</f>
        <v>9850.82</v>
      </c>
      <c r="L46" s="38" t="n">
        <f aca="false">(G46*P_Faser+H46*P_Kupfer+F46*P_Tiefbau)*EK</f>
        <v>2181.49733984071</v>
      </c>
      <c r="M46" s="38" t="n">
        <f aca="false">Netz!H46+Netz!I46</f>
        <v>1793.77815918476</v>
      </c>
      <c r="N46" s="38" t="n">
        <f aca="false">J46+K46+L46+M46</f>
        <v>17439.8874990255</v>
      </c>
      <c r="O46" s="38" t="n">
        <f aca="false">E46*Strom_Mast*EK+N46*Wartung</f>
        <v>761.196624970764</v>
      </c>
      <c r="P46" s="23" t="n">
        <f aca="false">CEILING(Anlagen!F46/PG,1)</f>
        <v>1</v>
      </c>
      <c r="Q46" s="38" t="n">
        <f aca="false">J46+K46+L46+(P_KVz+P_USV+P_MontStandort+P46*(P_UCG+P_DAC)+P_Agg*CEILING((P46+E46)/Ports_Agg,1))*EK</f>
        <v>18930.5093398407</v>
      </c>
      <c r="R46" s="38" t="n">
        <f aca="false">(Uplink_Monat*12*MAX(1,CEILING(Buchungsquote!V46*Bandbreite/Ueberbuchung/Uplink_Kap,1))+Strom_Standort+P46*Strom_GW+E46*Strom_Mast)*EK+Q46*Wartung</f>
        <v>2001.86528019522</v>
      </c>
    </row>
    <row r="47" customFormat="false" ht="15" hidden="false" customHeight="false" outlineLevel="0" collapsed="false">
      <c r="A47" s="23" t="n">
        <f aca="false">Anlagen!A47</f>
        <v>43</v>
      </c>
      <c r="B47" s="23" t="str">
        <f aca="false">Anlagen!B47</f>
        <v>Grüner Kranz</v>
      </c>
      <c r="C47" s="23" t="n">
        <f aca="false">IF(Anlagen!X47&lt;&gt;"",Anlagen!X47,MAX(2,CEILING(Anlagen!F47/Parz_je_AP,1)))</f>
        <v>20</v>
      </c>
      <c r="D47" s="23" t="n">
        <f aca="false">IF(Anlagen!Y47&lt;&gt;"",Anlagen!Y47,CEILING(C47/AP_je_Mast,1))</f>
        <v>10</v>
      </c>
      <c r="E47" s="23" t="n">
        <f aca="false">MAX(1,CEILING(D47*Anteil_Technik,1))</f>
        <v>5</v>
      </c>
      <c r="F47" s="37" t="n">
        <f aca="false">IF(Anlagen!Z47&lt;&gt;"",Anlagen!Z47,Leitung_k*SQRT(Anlagen!H47))</f>
        <v>501.827035764316</v>
      </c>
      <c r="G47" s="37" t="n">
        <f aca="false">F47*Faser_f</f>
        <v>833.032879368764</v>
      </c>
      <c r="H47" s="37" t="n">
        <f aca="false">F47*Kupfer_f</f>
        <v>531.936657910175</v>
      </c>
      <c r="I47" s="23" t="n">
        <f aca="false">ROUND(C47*Kabel_je_AP,0)</f>
        <v>8</v>
      </c>
      <c r="J47" s="38" t="n">
        <f aca="false">E47*(2*P_SFP+P_Flex+P_NT+P_Halter+P_Luefter+P_Spleiss+P_Saeule+P_Ueber)*EK</f>
        <v>4517.24</v>
      </c>
      <c r="K47" s="38" t="n">
        <f aca="false">(C47*P_AP+D47*(P_Mast+P_Fund+P_MontMast)+I47*2*P_Surge)*EK</f>
        <v>14056.28</v>
      </c>
      <c r="L47" s="38" t="n">
        <f aca="false">(G47*P_Faser+H47*P_Kupfer+F47*P_Tiefbau)*EK</f>
        <v>2246.56923716897</v>
      </c>
      <c r="M47" s="38" t="n">
        <f aca="false">Netz!H47+Netz!I47</f>
        <v>1984.55986222263</v>
      </c>
      <c r="N47" s="38" t="n">
        <f aca="false">J47+K47+L47+M47</f>
        <v>22804.6490993916</v>
      </c>
      <c r="O47" s="38" t="n">
        <f aca="false">E47*Strom_Mast*EK+N47*Wartung</f>
        <v>981.639472981748</v>
      </c>
      <c r="P47" s="23" t="n">
        <f aca="false">CEILING(Anlagen!F47/PG,1)</f>
        <v>2</v>
      </c>
      <c r="Q47" s="38" t="n">
        <f aca="false">J47+K47+L47+(P_KVz+P_USV+P_MontStandort+P47*(P_UCG+P_DAC)+P_Agg*CEILING((P47+E47)/Ports_Agg,1))*EK</f>
        <v>24425.789237169</v>
      </c>
      <c r="R47" s="38" t="n">
        <f aca="false">(Uplink_Monat*12*MAX(1,CEILING(Buchungsquote!V47*Bandbreite/Ueberbuchung/Uplink_Kap,1))+Strom_Standort+P47*Strom_GW+E47*Strom_Mast)*EK+Q47*Wartung</f>
        <v>2255.97367711507</v>
      </c>
    </row>
    <row r="48" customFormat="false" ht="15" hidden="false" customHeight="false" outlineLevel="0" collapsed="false">
      <c r="A48" s="23" t="n">
        <f aca="false">Anlagen!A48</f>
        <v>44</v>
      </c>
      <c r="B48" s="23" t="str">
        <f aca="false">Anlagen!B48</f>
        <v>Grünes Heim</v>
      </c>
      <c r="C48" s="23" t="n">
        <f aca="false">IF(Anlagen!X48&lt;&gt;"",Anlagen!X48,MAX(2,CEILING(Anlagen!F48/Parz_je_AP,1)))</f>
        <v>7</v>
      </c>
      <c r="D48" s="23" t="n">
        <f aca="false">IF(Anlagen!Y48&lt;&gt;"",Anlagen!Y48,CEILING(C48/AP_je_Mast,1))</f>
        <v>4</v>
      </c>
      <c r="E48" s="23" t="n">
        <f aca="false">MAX(1,CEILING(D48*Anteil_Technik,1))</f>
        <v>2</v>
      </c>
      <c r="F48" s="37" t="n">
        <f aca="false">IF(Anlagen!Z48&lt;&gt;"",Anlagen!Z48,Leitung_k*SQRT(Anlagen!H48))</f>
        <v>276.301962816047</v>
      </c>
      <c r="G48" s="37" t="n">
        <f aca="false">F48*Faser_f</f>
        <v>458.661258274637</v>
      </c>
      <c r="H48" s="37" t="n">
        <f aca="false">F48*Kupfer_f</f>
        <v>292.880080585009</v>
      </c>
      <c r="I48" s="23" t="n">
        <f aca="false">ROUND(C48*Kabel_je_AP,0)</f>
        <v>3</v>
      </c>
      <c r="J48" s="38" t="n">
        <f aca="false">E48*(2*P_SFP+P_Flex+P_NT+P_Halter+P_Luefter+P_Spleiss+P_Saeule+P_Ueber)*EK</f>
        <v>1806.896</v>
      </c>
      <c r="K48" s="38" t="n">
        <f aca="false">(C48*P_AP+D48*(P_Mast+P_Fund+P_MontMast)+I48*2*P_Surge)*EK</f>
        <v>5319.3</v>
      </c>
      <c r="L48" s="38" t="n">
        <f aca="false">(G48*P_Faser+H48*P_Kupfer+F48*P_Tiefbau)*EK</f>
        <v>1236.94310109562</v>
      </c>
      <c r="M48" s="38" t="n">
        <f aca="false">Netz!H48+Netz!I48</f>
        <v>1607.01721143788</v>
      </c>
      <c r="N48" s="38" t="n">
        <f aca="false">J48+K48+L48+M48</f>
        <v>9970.15631253351</v>
      </c>
      <c r="O48" s="38" t="n">
        <f aca="false">E48*Strom_Mast*EK+N48*Wartung</f>
        <v>418.104689376005</v>
      </c>
      <c r="P48" s="23" t="n">
        <f aca="false">CEILING(Anlagen!F48/PG,1)</f>
        <v>1</v>
      </c>
      <c r="Q48" s="38" t="n">
        <f aca="false">J48+K48+L48+(P_KVz+P_USV+P_MontStandort+P48*(P_UCG+P_DAC)+P_Agg*CEILING((P48+E48)/Ports_Agg,1))*EK</f>
        <v>11647.5391010956</v>
      </c>
      <c r="R48" s="38" t="n">
        <f aca="false">(Uplink_Monat*12*MAX(1,CEILING(Buchungsquote!V48*Bandbreite/Ueberbuchung/Uplink_Kap,1))+Strom_Standort+P48*Strom_GW+E48*Strom_Mast)*EK+Q48*Wartung</f>
        <v>1664.37617303287</v>
      </c>
    </row>
    <row r="49" customFormat="false" ht="15" hidden="false" customHeight="false" outlineLevel="0" collapsed="false">
      <c r="A49" s="23" t="n">
        <f aca="false">Anlagen!A49</f>
        <v>45</v>
      </c>
      <c r="B49" s="23" t="str">
        <f aca="false">Anlagen!B49</f>
        <v>Gut Wetter</v>
      </c>
      <c r="C49" s="23" t="n">
        <f aca="false">IF(Anlagen!X49&lt;&gt;"",Anlagen!X49,MAX(2,CEILING(Anlagen!F49/Parz_je_AP,1)))</f>
        <v>5</v>
      </c>
      <c r="D49" s="23" t="n">
        <f aca="false">IF(Anlagen!Y49&lt;&gt;"",Anlagen!Y49,CEILING(C49/AP_je_Mast,1))</f>
        <v>3</v>
      </c>
      <c r="E49" s="23" t="n">
        <f aca="false">MAX(1,CEILING(D49*Anteil_Technik,1))</f>
        <v>2</v>
      </c>
      <c r="F49" s="37" t="n">
        <f aca="false">IF(Anlagen!Z49&lt;&gt;"",Anlagen!Z49,Leitung_k*SQRT(Anlagen!H49))</f>
        <v>266.156162979556</v>
      </c>
      <c r="G49" s="37" t="n">
        <f aca="false">F49*Faser_f</f>
        <v>441.819230546063</v>
      </c>
      <c r="H49" s="37" t="n">
        <f aca="false">F49*Kupfer_f</f>
        <v>282.125532758329</v>
      </c>
      <c r="I49" s="23" t="n">
        <f aca="false">ROUND(C49*Kabel_je_AP,0)</f>
        <v>2</v>
      </c>
      <c r="J49" s="38" t="n">
        <f aca="false">E49*(2*P_SFP+P_Flex+P_NT+P_Halter+P_Luefter+P_Spleiss+P_Saeule+P_Ueber)*EK</f>
        <v>1806.896</v>
      </c>
      <c r="K49" s="38" t="n">
        <f aca="false">(C49*P_AP+D49*(P_Mast+P_Fund+P_MontMast)+I49*2*P_Surge)*EK</f>
        <v>3907.96</v>
      </c>
      <c r="L49" s="38" t="n">
        <f aca="false">(G49*P_Faser+H49*P_Kupfer+F49*P_Tiefbau)*EK</f>
        <v>1191.52258730362</v>
      </c>
      <c r="M49" s="38" t="n">
        <f aca="false">Netz!H49+Netz!I49</f>
        <v>2451.82938432676</v>
      </c>
      <c r="N49" s="38" t="n">
        <f aca="false">J49+K49+L49+M49</f>
        <v>9358.20797163038</v>
      </c>
      <c r="O49" s="38" t="n">
        <f aca="false">E49*Strom_Mast*EK+N49*Wartung</f>
        <v>399.746239148911</v>
      </c>
      <c r="P49" s="23" t="n">
        <f aca="false">CEILING(Anlagen!F49/PG,1)</f>
        <v>1</v>
      </c>
      <c r="Q49" s="38" t="n">
        <f aca="false">J49+K49+L49+(P_KVz+P_USV+P_MontStandort+P49*(P_UCG+P_DAC)+P_Agg*CEILING((P49+E49)/Ports_Agg,1))*EK</f>
        <v>10190.7785873036</v>
      </c>
      <c r="R49" s="38" t="n">
        <f aca="false">(Uplink_Monat*12*MAX(1,CEILING(Buchungsquote!V49*Bandbreite/Ueberbuchung/Uplink_Kap,1))+Strom_Standort+P49*Strom_GW+E49*Strom_Mast)*EK+Q49*Wartung</f>
        <v>1620.67335761911</v>
      </c>
    </row>
    <row r="50" customFormat="false" ht="15" hidden="false" customHeight="false" outlineLevel="0" collapsed="false">
      <c r="A50" s="23" t="n">
        <f aca="false">Anlagen!A50</f>
        <v>46</v>
      </c>
      <c r="B50" s="23" t="str">
        <f aca="false">Anlagen!B50</f>
        <v>Handwerker</v>
      </c>
      <c r="C50" s="23" t="n">
        <f aca="false">IF(Anlagen!X50&lt;&gt;"",Anlagen!X50,MAX(2,CEILING(Anlagen!F50/Parz_je_AP,1)))</f>
        <v>10</v>
      </c>
      <c r="D50" s="23" t="n">
        <f aca="false">IF(Anlagen!Y50&lt;&gt;"",Anlagen!Y50,CEILING(C50/AP_je_Mast,1))</f>
        <v>5</v>
      </c>
      <c r="E50" s="23" t="n">
        <f aca="false">MAX(1,CEILING(D50*Anteil_Technik,1))</f>
        <v>3</v>
      </c>
      <c r="F50" s="37" t="n">
        <f aca="false">IF(Anlagen!Z50&lt;&gt;"",Anlagen!Z50,Leitung_k*SQRT(Anlagen!H50))</f>
        <v>353.522593659868</v>
      </c>
      <c r="G50" s="37" t="n">
        <f aca="false">F50*Faser_f</f>
        <v>586.847505475381</v>
      </c>
      <c r="H50" s="37" t="n">
        <f aca="false">F50*Kupfer_f</f>
        <v>374.73394927946</v>
      </c>
      <c r="I50" s="23" t="n">
        <f aca="false">ROUND(C50*Kabel_je_AP,0)</f>
        <v>4</v>
      </c>
      <c r="J50" s="38" t="n">
        <f aca="false">E50*(2*P_SFP+P_Flex+P_NT+P_Halter+P_Luefter+P_Spleiss+P_Saeule+P_Ueber)*EK</f>
        <v>2710.344</v>
      </c>
      <c r="K50" s="38" t="n">
        <f aca="false">(C50*P_AP+D50*(P_Mast+P_Fund+P_MontMast)+I50*2*P_Surge)*EK</f>
        <v>7028.14</v>
      </c>
      <c r="L50" s="38" t="n">
        <f aca="false">(G50*P_Faser+H50*P_Kupfer+F50*P_Tiefbau)*EK</f>
        <v>1582.64287684462</v>
      </c>
      <c r="M50" s="38" t="n">
        <f aca="false">Netz!H50+Netz!I50</f>
        <v>1532.50760030278</v>
      </c>
      <c r="N50" s="38" t="n">
        <f aca="false">J50+K50+L50+M50</f>
        <v>12853.6344771474</v>
      </c>
      <c r="O50" s="38" t="n">
        <f aca="false">E50*Strom_Mast*EK+N50*Wartung</f>
        <v>564.109034314422</v>
      </c>
      <c r="P50" s="23" t="n">
        <f aca="false">CEILING(Anlagen!F50/PG,1)</f>
        <v>1</v>
      </c>
      <c r="Q50" s="38" t="n">
        <f aca="false">J50+K50+L50+(P_KVz+P_USV+P_MontStandort+P50*(P_UCG+P_DAC)+P_Agg*CEILING((P50+E50)/Ports_Agg,1))*EK</f>
        <v>14605.5268768446</v>
      </c>
      <c r="R50" s="38" t="n">
        <f aca="false">(Uplink_Monat*12*MAX(1,CEILING(Buchungsquote!V50*Bandbreite/Ueberbuchung/Uplink_Kap,1))+Strom_Standort+P50*Strom_GW+E50*Strom_Mast)*EK+Q50*Wartung</f>
        <v>1812.61580630534</v>
      </c>
    </row>
    <row r="51" customFormat="false" ht="15" hidden="false" customHeight="false" outlineLevel="0" collapsed="false">
      <c r="A51" s="23" t="n">
        <f aca="false">Anlagen!A51</f>
        <v>47</v>
      </c>
      <c r="B51" s="23" t="str">
        <f aca="false">Anlagen!B51</f>
        <v>Harmonie</v>
      </c>
      <c r="C51" s="23" t="n">
        <f aca="false">IF(Anlagen!X51&lt;&gt;"",Anlagen!X51,MAX(2,CEILING(Anlagen!F51/Parz_je_AP,1)))</f>
        <v>17</v>
      </c>
      <c r="D51" s="23" t="n">
        <f aca="false">IF(Anlagen!Y51&lt;&gt;"",Anlagen!Y51,CEILING(C51/AP_je_Mast,1))</f>
        <v>8</v>
      </c>
      <c r="E51" s="23" t="n">
        <f aca="false">MAX(1,CEILING(D51*Anteil_Technik,1))</f>
        <v>4</v>
      </c>
      <c r="F51" s="37" t="n">
        <f aca="false">IF(Anlagen!Z51&lt;&gt;"",Anlagen!Z51,Leitung_k*SQRT(Anlagen!H51))</f>
        <v>420.432073229434</v>
      </c>
      <c r="G51" s="37" t="n">
        <f aca="false">F51*Faser_f</f>
        <v>697.91724156086</v>
      </c>
      <c r="H51" s="37" t="n">
        <f aca="false">F51*Kupfer_f</f>
        <v>445.6579976232</v>
      </c>
      <c r="I51" s="23" t="n">
        <f aca="false">ROUND(C51*Kabel_je_AP,0)</f>
        <v>7</v>
      </c>
      <c r="J51" s="38" t="n">
        <f aca="false">E51*(2*P_SFP+P_Flex+P_NT+P_Halter+P_Luefter+P_Spleiss+P_Saeule+P_Ueber)*EK</f>
        <v>3613.792</v>
      </c>
      <c r="K51" s="38" t="n">
        <f aca="false">(C51*P_AP+D51*(P_Mast+P_Fund+P_MontMast)+I51*2*P_Surge)*EK</f>
        <v>11559.66</v>
      </c>
      <c r="L51" s="38" t="n">
        <f aca="false">(G51*P_Faser+H51*P_Kupfer+F51*P_Tiefbau)*EK</f>
        <v>1882.18189679207</v>
      </c>
      <c r="M51" s="38" t="n">
        <f aca="false">Netz!H51+Netz!I51</f>
        <v>2269.03741930463</v>
      </c>
      <c r="N51" s="38" t="n">
        <f aca="false">J51+K51+L51+M51</f>
        <v>19324.6713160967</v>
      </c>
      <c r="O51" s="38" t="n">
        <f aca="false">E51*Strom_Mast*EK+N51*Wartung</f>
        <v>817.740139482901</v>
      </c>
      <c r="P51" s="23" t="n">
        <f aca="false">CEILING(Anlagen!F51/PG,1)</f>
        <v>2</v>
      </c>
      <c r="Q51" s="38" t="n">
        <f aca="false">J51+K51+L51+(P_KVz+P_USV+P_MontStandort+P51*(P_UCG+P_DAC)+P_Agg*CEILING((P51+E51)/Ports_Agg,1))*EK</f>
        <v>20661.3338967921</v>
      </c>
      <c r="R51" s="38" t="n">
        <f aca="false">(Uplink_Monat*12*MAX(1,CEILING(Buchungsquote!V51*Bandbreite/Ueberbuchung/Uplink_Kap,1))+Strom_Standort+P51*Strom_GW+E51*Strom_Mast)*EK+Q51*Wartung</f>
        <v>2083.54001690376</v>
      </c>
    </row>
    <row r="52" customFormat="false" ht="15" hidden="false" customHeight="false" outlineLevel="0" collapsed="false">
      <c r="A52" s="23" t="n">
        <f aca="false">Anlagen!A52</f>
        <v>48</v>
      </c>
      <c r="B52" s="23" t="str">
        <f aca="false">Anlagen!B52</f>
        <v>Heidekrug</v>
      </c>
      <c r="C52" s="23" t="n">
        <f aca="false">IF(Anlagen!X52&lt;&gt;"",Anlagen!X52,MAX(2,CEILING(Anlagen!F52/Parz_je_AP,1)))</f>
        <v>10</v>
      </c>
      <c r="D52" s="23" t="n">
        <f aca="false">IF(Anlagen!Y52&lt;&gt;"",Anlagen!Y52,CEILING(C52/AP_je_Mast,1))</f>
        <v>5</v>
      </c>
      <c r="E52" s="23" t="n">
        <f aca="false">MAX(1,CEILING(D52*Anteil_Technik,1))</f>
        <v>3</v>
      </c>
      <c r="F52" s="37" t="n">
        <f aca="false">IF(Anlagen!Z52&lt;&gt;"",Anlagen!Z52,Leitung_k*SQRT(Anlagen!H52))</f>
        <v>343.147528593752</v>
      </c>
      <c r="G52" s="37" t="n">
        <f aca="false">F52*Faser_f</f>
        <v>569.624897465629</v>
      </c>
      <c r="H52" s="37" t="n">
        <f aca="false">F52*Kupfer_f</f>
        <v>363.736380309377</v>
      </c>
      <c r="I52" s="23" t="n">
        <f aca="false">ROUND(C52*Kabel_je_AP,0)</f>
        <v>4</v>
      </c>
      <c r="J52" s="38" t="n">
        <f aca="false">E52*(2*P_SFP+P_Flex+P_NT+P_Halter+P_Luefter+P_Spleiss+P_Saeule+P_Ueber)*EK</f>
        <v>2710.344</v>
      </c>
      <c r="K52" s="38" t="n">
        <f aca="false">(C52*P_AP+D52*(P_Mast+P_Fund+P_MontMast)+I52*2*P_Surge)*EK</f>
        <v>7028.14</v>
      </c>
      <c r="L52" s="38" t="n">
        <f aca="false">(G52*P_Faser+H52*P_Kupfer+F52*P_Tiefbau)*EK</f>
        <v>1536.19599305794</v>
      </c>
      <c r="M52" s="38" t="n">
        <f aca="false">Netz!H52+Netz!I52</f>
        <v>0</v>
      </c>
      <c r="N52" s="38" t="n">
        <f aca="false">J52+K52+L52+M52</f>
        <v>11274.6799930579</v>
      </c>
      <c r="O52" s="38" t="n">
        <f aca="false">E52*Strom_Mast*EK+N52*Wartung</f>
        <v>516.740399791738</v>
      </c>
      <c r="P52" s="23" t="n">
        <f aca="false">CEILING(Anlagen!F52/PG,1)</f>
        <v>1</v>
      </c>
      <c r="Q52" s="38" t="n">
        <f aca="false">J52+K52+L52+(P_KVz+P_USV+P_MontStandort+P52*(P_UCG+P_DAC)+P_Agg*CEILING((P52+E52)/Ports_Agg,1))*EK</f>
        <v>14559.0799930579</v>
      </c>
      <c r="R52" s="38" t="n">
        <f aca="false">(Uplink_Monat*12*MAX(1,CEILING(Buchungsquote!V52*Bandbreite/Ueberbuchung/Uplink_Kap,1))+Strom_Standort+P52*Strom_GW+E52*Strom_Mast)*EK+Q52*Wartung</f>
        <v>1811.22239979174</v>
      </c>
    </row>
    <row r="53" customFormat="false" ht="15" hidden="false" customHeight="false" outlineLevel="0" collapsed="false">
      <c r="A53" s="23" t="n">
        <f aca="false">Anlagen!A53</f>
        <v>49</v>
      </c>
      <c r="B53" s="23" t="str">
        <f aca="false">Anlagen!B53</f>
        <v>Helgoland</v>
      </c>
      <c r="C53" s="23" t="n">
        <f aca="false">IF(Anlagen!X53&lt;&gt;"",Anlagen!X53,MAX(2,CEILING(Anlagen!F53/Parz_je_AP,1)))</f>
        <v>31</v>
      </c>
      <c r="D53" s="23" t="n">
        <f aca="false">IF(Anlagen!Y53&lt;&gt;"",Anlagen!Y53,CEILING(C53/AP_je_Mast,1))</f>
        <v>15</v>
      </c>
      <c r="E53" s="23" t="n">
        <f aca="false">MAX(1,CEILING(D53*Anteil_Technik,1))</f>
        <v>8</v>
      </c>
      <c r="F53" s="37" t="n">
        <f aca="false">IF(Anlagen!Z53&lt;&gt;"",Anlagen!Z53,Leitung_k*SQRT(Anlagen!H53))</f>
        <v>631.842416860407</v>
      </c>
      <c r="G53" s="37" t="n">
        <f aca="false">F53*Faser_f</f>
        <v>1048.85841198828</v>
      </c>
      <c r="H53" s="37" t="n">
        <f aca="false">F53*Kupfer_f</f>
        <v>669.752961872031</v>
      </c>
      <c r="I53" s="23" t="n">
        <f aca="false">ROUND(C53*Kabel_je_AP,0)</f>
        <v>13</v>
      </c>
      <c r="J53" s="38" t="n">
        <f aca="false">E53*(2*P_SFP+P_Flex+P_NT+P_Halter+P_Luefter+P_Spleiss+P_Saeule+P_Ueber)*EK</f>
        <v>7227.584</v>
      </c>
      <c r="K53" s="38" t="n">
        <f aca="false">(C53*P_AP+D53*(P_Mast+P_Fund+P_MontMast)+I53*2*P_Surge)*EK</f>
        <v>21410.48</v>
      </c>
      <c r="L53" s="38" t="n">
        <f aca="false">(G53*P_Faser+H53*P_Kupfer+F53*P_Tiefbau)*EK</f>
        <v>2828.61949495233</v>
      </c>
      <c r="M53" s="38" t="n">
        <f aca="false">Netz!H53+Netz!I53</f>
        <v>0</v>
      </c>
      <c r="N53" s="38" t="n">
        <f aca="false">J53+K53+L53+M53</f>
        <v>31466.6834949523</v>
      </c>
      <c r="O53" s="38" t="n">
        <f aca="false">E53*Strom_Mast*EK+N53*Wartung</f>
        <v>1420.00050484857</v>
      </c>
      <c r="P53" s="23" t="n">
        <f aca="false">CEILING(Anlagen!F53/PG,1)</f>
        <v>2</v>
      </c>
      <c r="Q53" s="38" t="n">
        <f aca="false">J53+K53+L53+(P_KVz+P_USV+P_MontStandort+P53*(P_UCG+P_DAC)+P_Agg*CEILING((P53+E53)/Ports_Agg,1))*EK</f>
        <v>35357.9834949523</v>
      </c>
      <c r="R53" s="38" t="n">
        <f aca="false">(Uplink_Monat*12*MAX(1,CEILING(Buchungsquote!V53*Bandbreite/Ueberbuchung/Uplink_Kap,1))+Strom_Standort+P53*Strom_GW+E53*Strom_Mast)*EK+Q53*Wartung</f>
        <v>2762.43950484857</v>
      </c>
    </row>
    <row r="54" customFormat="false" ht="15" hidden="false" customHeight="false" outlineLevel="0" collapsed="false">
      <c r="A54" s="23" t="n">
        <f aca="false">Anlagen!A54</f>
        <v>50</v>
      </c>
      <c r="B54" s="23" t="str">
        <f aca="false">Anlagen!B54</f>
        <v>Hoffnung</v>
      </c>
      <c r="C54" s="23" t="n">
        <f aca="false">IF(Anlagen!X54&lt;&gt;"",Anlagen!X54,MAX(2,CEILING(Anlagen!F54/Parz_je_AP,1)))</f>
        <v>2</v>
      </c>
      <c r="D54" s="23" t="n">
        <f aca="false">IF(Anlagen!Y54&lt;&gt;"",Anlagen!Y54,CEILING(C54/AP_je_Mast,1))</f>
        <v>1</v>
      </c>
      <c r="E54" s="23" t="n">
        <f aca="false">MAX(1,CEILING(D54*Anteil_Technik,1))</f>
        <v>1</v>
      </c>
      <c r="F54" s="37" t="n">
        <f aca="false">IF(Anlagen!Z54&lt;&gt;"",Anlagen!Z54,Leitung_k*SQRT(Anlagen!H54))</f>
        <v>191.816321067838</v>
      </c>
      <c r="G54" s="37" t="n">
        <f aca="false">F54*Faser_f</f>
        <v>318.415092972611</v>
      </c>
      <c r="H54" s="37" t="n">
        <f aca="false">F54*Kupfer_f</f>
        <v>203.325300331909</v>
      </c>
      <c r="I54" s="23" t="n">
        <f aca="false">ROUND(C54*Kabel_je_AP,0)</f>
        <v>1</v>
      </c>
      <c r="J54" s="38" t="n">
        <f aca="false">E54*(2*P_SFP+P_Flex+P_NT+P_Halter+P_Luefter+P_Spleiss+P_Saeule+P_Ueber)*EK</f>
        <v>903.448</v>
      </c>
      <c r="K54" s="38" t="n">
        <f aca="false">(C54*P_AP+D54*(P_Mast+P_Fund+P_MontMast)+I54*2*P_Surge)*EK</f>
        <v>1411.34</v>
      </c>
      <c r="L54" s="38" t="n">
        <f aca="false">(G54*P_Faser+H54*P_Kupfer+F54*P_Tiefbau)*EK</f>
        <v>858.719469830077</v>
      </c>
      <c r="M54" s="38" t="n">
        <f aca="false">Netz!H54+Netz!I54</f>
        <v>1673.5617390646</v>
      </c>
      <c r="N54" s="38" t="n">
        <f aca="false">J54+K54+L54+M54</f>
        <v>4847.06920889468</v>
      </c>
      <c r="O54" s="38" t="n">
        <f aca="false">E54*Strom_Mast*EK+N54*Wartung</f>
        <v>204.91207626684</v>
      </c>
      <c r="P54" s="23" t="n">
        <f aca="false">CEILING(Anlagen!F54/PG,1)</f>
        <v>1</v>
      </c>
      <c r="Q54" s="38" t="n">
        <f aca="false">J54+K54+L54+(P_KVz+P_USV+P_MontStandort+P54*(P_UCG+P_DAC)+P_Agg*CEILING((P54+E54)/Ports_Agg,1))*EK</f>
        <v>6457.90746983008</v>
      </c>
      <c r="R54" s="38" t="n">
        <f aca="false">(Uplink_Monat*12*MAX(1,CEILING(Buchungsquote!V54*Bandbreite/Ueberbuchung/Uplink_Kap,1))+Strom_Standort+P54*Strom_GW+E54*Strom_Mast)*EK+Q54*Wartung</f>
        <v>1449.1872240949</v>
      </c>
    </row>
    <row r="55" customFormat="false" ht="15" hidden="false" customHeight="false" outlineLevel="0" collapsed="false">
      <c r="A55" s="23" t="n">
        <f aca="false">Anlagen!A55</f>
        <v>51</v>
      </c>
      <c r="B55" s="23" t="str">
        <f aca="false">Anlagen!B55</f>
        <v>Holland</v>
      </c>
      <c r="C55" s="23" t="n">
        <f aca="false">IF(Anlagen!X55&lt;&gt;"",Anlagen!X55,MAX(2,CEILING(Anlagen!F55/Parz_je_AP,1)))</f>
        <v>3</v>
      </c>
      <c r="D55" s="23" t="n">
        <f aca="false">IF(Anlagen!Y55&lt;&gt;"",Anlagen!Y55,CEILING(C55/AP_je_Mast,1))</f>
        <v>2</v>
      </c>
      <c r="E55" s="23" t="n">
        <f aca="false">MAX(1,CEILING(D55*Anteil_Technik,1))</f>
        <v>1</v>
      </c>
      <c r="F55" s="37" t="n">
        <f aca="false">IF(Anlagen!Z55&lt;&gt;"",Anlagen!Z55,Leitung_k*SQRT(Anlagen!H55))</f>
        <v>162.772187857754</v>
      </c>
      <c r="G55" s="37" t="n">
        <f aca="false">F55*Faser_f</f>
        <v>270.201831843872</v>
      </c>
      <c r="H55" s="37" t="n">
        <f aca="false">F55*Kupfer_f</f>
        <v>172.538519129219</v>
      </c>
      <c r="I55" s="23" t="n">
        <f aca="false">ROUND(C55*Kabel_je_AP,0)</f>
        <v>1</v>
      </c>
      <c r="J55" s="38" t="n">
        <f aca="false">E55*(2*P_SFP+P_Flex+P_NT+P_Halter+P_Luefter+P_Spleiss+P_Saeule+P_Ueber)*EK</f>
        <v>903.448</v>
      </c>
      <c r="K55" s="38" t="n">
        <f aca="false">(C55*P_AP+D55*(P_Mast+P_Fund+P_MontMast)+I55*2*P_Surge)*EK</f>
        <v>2496.62</v>
      </c>
      <c r="L55" s="38" t="n">
        <f aca="false">(G55*P_Faser+H55*P_Kupfer+F55*P_Tiefbau)*EK</f>
        <v>728.695275157837</v>
      </c>
      <c r="M55" s="38" t="n">
        <f aca="false">Netz!H55+Netz!I55</f>
        <v>1732.10224294931</v>
      </c>
      <c r="N55" s="38" t="n">
        <f aca="false">J55+K55+L55+M55</f>
        <v>5860.86551810715</v>
      </c>
      <c r="O55" s="38" t="n">
        <f aca="false">E55*Strom_Mast*EK+N55*Wartung</f>
        <v>235.325965543215</v>
      </c>
      <c r="P55" s="23" t="n">
        <f aca="false">CEILING(Anlagen!F55/PG,1)</f>
        <v>1</v>
      </c>
      <c r="Q55" s="38" t="n">
        <f aca="false">J55+K55+L55+(P_KVz+P_USV+P_MontStandort+P55*(P_UCG+P_DAC)+P_Agg*CEILING((P55+E55)/Ports_Agg,1))*EK</f>
        <v>7413.16327515784</v>
      </c>
      <c r="R55" s="38" t="n">
        <f aca="false">(Uplink_Monat*12*MAX(1,CEILING(Buchungsquote!V55*Bandbreite/Ueberbuchung/Uplink_Kap,1))+Strom_Standort+P55*Strom_GW+E55*Strom_Mast)*EK+Q55*Wartung</f>
        <v>1477.84489825474</v>
      </c>
    </row>
    <row r="56" customFormat="false" ht="15" hidden="false" customHeight="false" outlineLevel="0" collapsed="false">
      <c r="A56" s="23" t="n">
        <f aca="false">Anlagen!A56</f>
        <v>52</v>
      </c>
      <c r="B56" s="23" t="str">
        <f aca="false">Anlagen!B56</f>
        <v>Im Mittelbruch I</v>
      </c>
      <c r="C56" s="23" t="n">
        <f aca="false">IF(Anlagen!X56&lt;&gt;"",Anlagen!X56,MAX(2,CEILING(Anlagen!F56/Parz_je_AP,1)))</f>
        <v>10</v>
      </c>
      <c r="D56" s="23" t="n">
        <f aca="false">IF(Anlagen!Y56&lt;&gt;"",Anlagen!Y56,CEILING(C56/AP_je_Mast,1))</f>
        <v>5</v>
      </c>
      <c r="E56" s="23" t="n">
        <f aca="false">MAX(1,CEILING(D56*Anteil_Technik,1))</f>
        <v>3</v>
      </c>
      <c r="F56" s="37" t="n">
        <f aca="false">IF(Anlagen!Z56&lt;&gt;"",Anlagen!Z56,Leitung_k*SQRT(Anlagen!H56))</f>
        <v>465.677659665997</v>
      </c>
      <c r="G56" s="37" t="n">
        <f aca="false">F56*Faser_f</f>
        <v>773.024915045555</v>
      </c>
      <c r="H56" s="37" t="n">
        <f aca="false">F56*Kupfer_f</f>
        <v>493.618319245957</v>
      </c>
      <c r="I56" s="23" t="n">
        <f aca="false">ROUND(C56*Kabel_je_AP,0)</f>
        <v>4</v>
      </c>
      <c r="J56" s="38" t="n">
        <f aca="false">E56*(2*P_SFP+P_Flex+P_NT+P_Halter+P_Luefter+P_Spleiss+P_Saeule+P_Ueber)*EK</f>
        <v>2710.344</v>
      </c>
      <c r="K56" s="38" t="n">
        <f aca="false">(C56*P_AP+D56*(P_Mast+P_Fund+P_MontMast)+I56*2*P_Surge)*EK</f>
        <v>7028.14</v>
      </c>
      <c r="L56" s="38" t="n">
        <f aca="false">(G56*P_Faser+H56*P_Kupfer+F56*P_Tiefbau)*EK</f>
        <v>2084.73643323954</v>
      </c>
      <c r="M56" s="38" t="n">
        <f aca="false">Netz!H56+Netz!I56</f>
        <v>2137.45670187081</v>
      </c>
      <c r="N56" s="38" t="n">
        <f aca="false">J56+K56+L56+M56</f>
        <v>13960.6771351104</v>
      </c>
      <c r="O56" s="38" t="n">
        <f aca="false">E56*Strom_Mast*EK+N56*Wartung</f>
        <v>597.320314053311</v>
      </c>
      <c r="P56" s="23" t="n">
        <f aca="false">CEILING(Anlagen!F56/PG,1)</f>
        <v>1</v>
      </c>
      <c r="Q56" s="38" t="n">
        <f aca="false">J56+K56+L56+(P_KVz+P_USV+P_MontStandort+P56*(P_UCG+P_DAC)+P_Agg*CEILING((P56+E56)/Ports_Agg,1))*EK</f>
        <v>15107.6204332395</v>
      </c>
      <c r="R56" s="38" t="n">
        <f aca="false">(Uplink_Monat*12*MAX(1,CEILING(Buchungsquote!V56*Bandbreite/Ueberbuchung/Uplink_Kap,1))+Strom_Standort+P56*Strom_GW+E56*Strom_Mast)*EK+Q56*Wartung</f>
        <v>1827.67861299719</v>
      </c>
    </row>
    <row r="57" customFormat="false" ht="15" hidden="false" customHeight="false" outlineLevel="0" collapsed="false">
      <c r="A57" s="23" t="n">
        <f aca="false">Anlagen!A57</f>
        <v>53</v>
      </c>
      <c r="B57" s="23" t="str">
        <f aca="false">Anlagen!B57</f>
        <v>Im Mittelbruch II</v>
      </c>
      <c r="C57" s="23" t="n">
        <f aca="false">IF(Anlagen!X57&lt;&gt;"",Anlagen!X57,MAX(2,CEILING(Anlagen!F57/Parz_je_AP,1)))</f>
        <v>14</v>
      </c>
      <c r="D57" s="23" t="n">
        <f aca="false">IF(Anlagen!Y57&lt;&gt;"",Anlagen!Y57,CEILING(C57/AP_je_Mast,1))</f>
        <v>7</v>
      </c>
      <c r="E57" s="23" t="n">
        <f aca="false">MAX(1,CEILING(D57*Anteil_Technik,1))</f>
        <v>4</v>
      </c>
      <c r="F57" s="37" t="n">
        <f aca="false">IF(Anlagen!Z57&lt;&gt;"",Anlagen!Z57,Leitung_k*SQRT(Anlagen!H57))</f>
        <v>431.075032025748</v>
      </c>
      <c r="G57" s="37" t="n">
        <f aca="false">F57*Faser_f</f>
        <v>715.584553162742</v>
      </c>
      <c r="H57" s="37" t="n">
        <f aca="false">F57*Kupfer_f</f>
        <v>456.939533947293</v>
      </c>
      <c r="I57" s="23" t="n">
        <f aca="false">ROUND(C57*Kabel_je_AP,0)</f>
        <v>6</v>
      </c>
      <c r="J57" s="38" t="n">
        <f aca="false">E57*(2*P_SFP+P_Flex+P_NT+P_Halter+P_Luefter+P_Spleiss+P_Saeule+P_Ueber)*EK</f>
        <v>3613.792</v>
      </c>
      <c r="K57" s="38" t="n">
        <f aca="false">(C57*P_AP+D57*(P_Mast+P_Fund+P_MontMast)+I57*2*P_Surge)*EK</f>
        <v>9850.82</v>
      </c>
      <c r="L57" s="38" t="n">
        <f aca="false">(G57*P_Faser+H57*P_Kupfer+F57*P_Tiefbau)*EK</f>
        <v>1929.82808187223</v>
      </c>
      <c r="M57" s="38" t="n">
        <f aca="false">Netz!H57+Netz!I57</f>
        <v>2204.69597284386</v>
      </c>
      <c r="N57" s="38" t="n">
        <f aca="false">J57+K57+L57+M57</f>
        <v>17599.1360547161</v>
      </c>
      <c r="O57" s="38" t="n">
        <f aca="false">E57*Strom_Mast*EK+N57*Wartung</f>
        <v>765.974081641483</v>
      </c>
      <c r="P57" s="23" t="n">
        <f aca="false">CEILING(Anlagen!F57/PG,1)</f>
        <v>1</v>
      </c>
      <c r="Q57" s="38" t="n">
        <f aca="false">J57+K57+L57+(P_KVz+P_USV+P_MontStandort+P57*(P_UCG+P_DAC)+P_Agg*CEILING((P57+E57)/Ports_Agg,1))*EK</f>
        <v>18678.8400818722</v>
      </c>
      <c r="R57" s="38" t="n">
        <f aca="false">(Uplink_Monat*12*MAX(1,CEILING(Buchungsquote!V57*Bandbreite/Ueberbuchung/Uplink_Kap,1))+Strom_Standort+P57*Strom_GW+E57*Strom_Mast)*EK+Q57*Wartung</f>
        <v>1994.31520245617</v>
      </c>
    </row>
    <row r="58" customFormat="false" ht="15" hidden="false" customHeight="false" outlineLevel="0" collapsed="false">
      <c r="A58" s="23" t="n">
        <f aca="false">Anlagen!A58</f>
        <v>54</v>
      </c>
      <c r="B58" s="23" t="str">
        <f aca="false">Anlagen!B58</f>
        <v>Immergrün</v>
      </c>
      <c r="C58" s="23" t="n">
        <f aca="false">IF(Anlagen!X58&lt;&gt;"",Anlagen!X58,MAX(2,CEILING(Anlagen!F58/Parz_je_AP,1)))</f>
        <v>16</v>
      </c>
      <c r="D58" s="23" t="n">
        <f aca="false">IF(Anlagen!Y58&lt;&gt;"",Anlagen!Y58,CEILING(C58/AP_je_Mast,1))</f>
        <v>8</v>
      </c>
      <c r="E58" s="23" t="n">
        <f aca="false">MAX(1,CEILING(D58*Anteil_Technik,1))</f>
        <v>4</v>
      </c>
      <c r="F58" s="37" t="n">
        <f aca="false">IF(Anlagen!Z58&lt;&gt;"",Anlagen!Z58,Leitung_k*SQRT(Anlagen!H58))</f>
        <v>475.200884342611</v>
      </c>
      <c r="G58" s="37" t="n">
        <f aca="false">F58*Faser_f</f>
        <v>788.833468008735</v>
      </c>
      <c r="H58" s="37" t="n">
        <f aca="false">F58*Kupfer_f</f>
        <v>503.712937403168</v>
      </c>
      <c r="I58" s="23" t="n">
        <f aca="false">ROUND(C58*Kabel_je_AP,0)</f>
        <v>7</v>
      </c>
      <c r="J58" s="38" t="n">
        <f aca="false">E58*(2*P_SFP+P_Flex+P_NT+P_Halter+P_Luefter+P_Spleiss+P_Saeule+P_Ueber)*EK</f>
        <v>3613.792</v>
      </c>
      <c r="K58" s="38" t="n">
        <f aca="false">(C58*P_AP+D58*(P_Mast+P_Fund+P_MontMast)+I58*2*P_Surge)*EK</f>
        <v>11262.16</v>
      </c>
      <c r="L58" s="38" t="n">
        <f aca="false">(G58*P_Faser+H58*P_Kupfer+F58*P_Tiefbau)*EK</f>
        <v>2127.36981500732</v>
      </c>
      <c r="M58" s="38" t="n">
        <f aca="false">Netz!H58+Netz!I58</f>
        <v>3444.98733510426</v>
      </c>
      <c r="N58" s="38" t="n">
        <f aca="false">J58+K58+L58+M58</f>
        <v>20448.3091501116</v>
      </c>
      <c r="O58" s="38" t="n">
        <f aca="false">E58*Strom_Mast*EK+N58*Wartung</f>
        <v>851.449274503347</v>
      </c>
      <c r="P58" s="23" t="n">
        <f aca="false">CEILING(Anlagen!F58/PG,1)</f>
        <v>2</v>
      </c>
      <c r="Q58" s="38" t="n">
        <f aca="false">J58+K58+L58+(P_KVz+P_USV+P_MontStandort+P58*(P_UCG+P_DAC)+P_Agg*CEILING((P58+E58)/Ports_Agg,1))*EK</f>
        <v>20609.0218150073</v>
      </c>
      <c r="R58" s="38" t="n">
        <f aca="false">(Uplink_Monat*12*MAX(1,CEILING(Buchungsquote!V58*Bandbreite/Ueberbuchung/Uplink_Kap,1))+Strom_Standort+P58*Strom_GW+E58*Strom_Mast)*EK+Q58*Wartung</f>
        <v>2081.97065445022</v>
      </c>
    </row>
    <row r="59" customFormat="false" ht="15" hidden="false" customHeight="false" outlineLevel="0" collapsed="false">
      <c r="A59" s="23" t="n">
        <f aca="false">Anlagen!A59</f>
        <v>55</v>
      </c>
      <c r="B59" s="23" t="str">
        <f aca="false">Anlagen!B59</f>
        <v>Jakobswerder</v>
      </c>
      <c r="C59" s="23" t="n">
        <f aca="false">IF(Anlagen!X59&lt;&gt;"",Anlagen!X59,MAX(2,CEILING(Anlagen!F59/Parz_je_AP,1)))</f>
        <v>14</v>
      </c>
      <c r="D59" s="23" t="n">
        <f aca="false">IF(Anlagen!Y59&lt;&gt;"",Anlagen!Y59,CEILING(C59/AP_je_Mast,1))</f>
        <v>7</v>
      </c>
      <c r="E59" s="23" t="n">
        <f aca="false">MAX(1,CEILING(D59*Anteil_Technik,1))</f>
        <v>4</v>
      </c>
      <c r="F59" s="37" t="n">
        <f aca="false">IF(Anlagen!Z59&lt;&gt;"",Anlagen!Z59,Leitung_k*SQRT(Anlagen!H59))</f>
        <v>419.372635411516</v>
      </c>
      <c r="G59" s="37" t="n">
        <f aca="false">F59*Faser_f</f>
        <v>696.158574783116</v>
      </c>
      <c r="H59" s="37" t="n">
        <f aca="false">F59*Kupfer_f</f>
        <v>444.534993536207</v>
      </c>
      <c r="I59" s="23" t="n">
        <f aca="false">ROUND(C59*Kabel_je_AP,0)</f>
        <v>6</v>
      </c>
      <c r="J59" s="38" t="n">
        <f aca="false">E59*(2*P_SFP+P_Flex+P_NT+P_Halter+P_Luefter+P_Spleiss+P_Saeule+P_Ueber)*EK</f>
        <v>3613.792</v>
      </c>
      <c r="K59" s="38" t="n">
        <f aca="false">(C59*P_AP+D59*(P_Mast+P_Fund+P_MontMast)+I59*2*P_Surge)*EK</f>
        <v>9850.82</v>
      </c>
      <c r="L59" s="38" t="n">
        <f aca="false">(G59*P_Faser+H59*P_Kupfer+F59*P_Tiefbau)*EK</f>
        <v>1877.43902675756</v>
      </c>
      <c r="M59" s="38" t="n">
        <f aca="false">Netz!H59+Netz!I59</f>
        <v>3573.11039697957</v>
      </c>
      <c r="N59" s="38" t="n">
        <f aca="false">J59+K59+L59+M59</f>
        <v>18915.1614237371</v>
      </c>
      <c r="O59" s="38" t="n">
        <f aca="false">E59*Strom_Mast*EK+N59*Wartung</f>
        <v>805.454842712114</v>
      </c>
      <c r="P59" s="23" t="n">
        <f aca="false">CEILING(Anlagen!F59/PG,1)</f>
        <v>1</v>
      </c>
      <c r="Q59" s="38" t="n">
        <f aca="false">J59+K59+L59+(P_KVz+P_USV+P_MontStandort+P59*(P_UCG+P_DAC)+P_Agg*CEILING((P59+E59)/Ports_Agg,1))*EK</f>
        <v>18626.4510267576</v>
      </c>
      <c r="R59" s="38" t="n">
        <f aca="false">(Uplink_Monat*12*MAX(1,CEILING(Buchungsquote!V59*Bandbreite/Ueberbuchung/Uplink_Kap,1))+Strom_Standort+P59*Strom_GW+E59*Strom_Mast)*EK+Q59*Wartung</f>
        <v>1992.74353080273</v>
      </c>
    </row>
    <row r="60" customFormat="false" ht="15" hidden="false" customHeight="false" outlineLevel="0" collapsed="false">
      <c r="A60" s="23" t="n">
        <f aca="false">Anlagen!A60</f>
        <v>56</v>
      </c>
      <c r="B60" s="23" t="str">
        <f aca="false">Anlagen!B60</f>
        <v>Kammgarn</v>
      </c>
      <c r="C60" s="23" t="n">
        <f aca="false">IF(Anlagen!X60&lt;&gt;"",Anlagen!X60,MAX(2,CEILING(Anlagen!F60/Parz_je_AP,1)))</f>
        <v>8</v>
      </c>
      <c r="D60" s="23" t="n">
        <f aca="false">IF(Anlagen!Y60&lt;&gt;"",Anlagen!Y60,CEILING(C60/AP_je_Mast,1))</f>
        <v>4</v>
      </c>
      <c r="E60" s="23" t="n">
        <f aca="false">MAX(1,CEILING(D60*Anteil_Technik,1))</f>
        <v>2</v>
      </c>
      <c r="F60" s="37" t="n">
        <f aca="false">IF(Anlagen!Z60&lt;&gt;"",Anlagen!Z60,Leitung_k*SQRT(Anlagen!H60))</f>
        <v>279.728787521056</v>
      </c>
      <c r="G60" s="37" t="n">
        <f aca="false">F60*Faser_f</f>
        <v>464.349787284953</v>
      </c>
      <c r="H60" s="37" t="n">
        <f aca="false">F60*Kupfer_f</f>
        <v>296.512514772319</v>
      </c>
      <c r="I60" s="23" t="n">
        <f aca="false">ROUND(C60*Kabel_je_AP,0)</f>
        <v>3</v>
      </c>
      <c r="J60" s="38" t="n">
        <f aca="false">E60*(2*P_SFP+P_Flex+P_NT+P_Halter+P_Luefter+P_Spleiss+P_Saeule+P_Ueber)*EK</f>
        <v>1806.896</v>
      </c>
      <c r="K60" s="38" t="n">
        <f aca="false">(C60*P_AP+D60*(P_Mast+P_Fund+P_MontMast)+I60*2*P_Surge)*EK</f>
        <v>5616.8</v>
      </c>
      <c r="L60" s="38" t="n">
        <f aca="false">(G60*P_Faser+H60*P_Kupfer+F60*P_Tiefbau)*EK</f>
        <v>1252.28424139851</v>
      </c>
      <c r="M60" s="38" t="n">
        <f aca="false">Netz!H60+Netz!I60</f>
        <v>0</v>
      </c>
      <c r="N60" s="38" t="n">
        <f aca="false">J60+K60+L60+M60</f>
        <v>8675.98024139851</v>
      </c>
      <c r="O60" s="38" t="n">
        <f aca="false">E60*Strom_Mast*EK+N60*Wartung</f>
        <v>379.279407241955</v>
      </c>
      <c r="P60" s="23" t="n">
        <f aca="false">CEILING(Anlagen!F60/PG,1)</f>
        <v>1</v>
      </c>
      <c r="Q60" s="38" t="n">
        <f aca="false">J60+K60+L60+(P_KVz+P_USV+P_MontStandort+P60*(P_UCG+P_DAC)+P_Agg*CEILING((P60+E60)/Ports_Agg,1))*EK</f>
        <v>11960.3802413985</v>
      </c>
      <c r="R60" s="38" t="n">
        <f aca="false">(Uplink_Monat*12*MAX(1,CEILING(Buchungsquote!V60*Bandbreite/Ueberbuchung/Uplink_Kap,1))+Strom_Standort+P60*Strom_GW+E60*Strom_Mast)*EK+Q60*Wartung</f>
        <v>1673.76140724196</v>
      </c>
    </row>
    <row r="61" customFormat="false" ht="15" hidden="false" customHeight="false" outlineLevel="0" collapsed="false">
      <c r="A61" s="23" t="n">
        <f aca="false">Anlagen!A61</f>
        <v>57</v>
      </c>
      <c r="B61" s="23" t="str">
        <f aca="false">Anlagen!B61</f>
        <v>Kirchmöser-Dorf</v>
      </c>
      <c r="C61" s="23" t="n">
        <f aca="false">IF(Anlagen!X61&lt;&gt;"",Anlagen!X61,MAX(2,CEILING(Anlagen!F61/Parz_je_AP,1)))</f>
        <v>14</v>
      </c>
      <c r="D61" s="23" t="n">
        <f aca="false">IF(Anlagen!Y61&lt;&gt;"",Anlagen!Y61,CEILING(C61/AP_je_Mast,1))</f>
        <v>7</v>
      </c>
      <c r="E61" s="23" t="n">
        <f aca="false">MAX(1,CEILING(D61*Anteil_Technik,1))</f>
        <v>4</v>
      </c>
      <c r="F61" s="37" t="n">
        <f aca="false">IF(Anlagen!Z61&lt;&gt;"",Anlagen!Z61,Leitung_k*SQRT(Anlagen!H61))</f>
        <v>519.648169684066</v>
      </c>
      <c r="G61" s="37" t="n">
        <f aca="false">F61*Faser_f</f>
        <v>862.61596167555</v>
      </c>
      <c r="H61" s="37" t="n">
        <f aca="false">F61*Kupfer_f</f>
        <v>550.82705986511</v>
      </c>
      <c r="I61" s="23" t="n">
        <f aca="false">ROUND(C61*Kabel_je_AP,0)</f>
        <v>6</v>
      </c>
      <c r="J61" s="38" t="n">
        <f aca="false">E61*(2*P_SFP+P_Flex+P_NT+P_Halter+P_Luefter+P_Spleiss+P_Saeule+P_Ueber)*EK</f>
        <v>3613.792</v>
      </c>
      <c r="K61" s="38" t="n">
        <f aca="false">(C61*P_AP+D61*(P_Mast+P_Fund+P_MontMast)+I61*2*P_Surge)*EK</f>
        <v>9850.82</v>
      </c>
      <c r="L61" s="38" t="n">
        <f aca="false">(G61*P_Faser+H61*P_Kupfer+F61*P_Tiefbau)*EK</f>
        <v>2326.35053307823</v>
      </c>
      <c r="M61" s="38" t="n">
        <f aca="false">Netz!H61+Netz!I61</f>
        <v>0</v>
      </c>
      <c r="N61" s="38" t="n">
        <f aca="false">J61+K61+L61+M61</f>
        <v>15790.9625330782</v>
      </c>
      <c r="O61" s="38" t="n">
        <f aca="false">E61*Strom_Mast*EK+N61*Wartung</f>
        <v>711.728875992347</v>
      </c>
      <c r="P61" s="23" t="n">
        <f aca="false">CEILING(Anlagen!F61/PG,1)</f>
        <v>1</v>
      </c>
      <c r="Q61" s="38" t="n">
        <f aca="false">J61+K61+L61+(P_KVz+P_USV+P_MontStandort+P61*(P_UCG+P_DAC)+P_Agg*CEILING((P61+E61)/Ports_Agg,1))*EK</f>
        <v>19075.3625330782</v>
      </c>
      <c r="R61" s="38" t="n">
        <f aca="false">(Uplink_Monat*12*MAX(1,CEILING(Buchungsquote!V61*Bandbreite/Ueberbuchung/Uplink_Kap,1))+Strom_Standort+P61*Strom_GW+E61*Strom_Mast)*EK+Q61*Wartung</f>
        <v>2006.21087599235</v>
      </c>
    </row>
    <row r="62" customFormat="false" ht="15" hidden="false" customHeight="false" outlineLevel="0" collapsed="false">
      <c r="A62" s="23" t="n">
        <f aca="false">Anlagen!A62</f>
        <v>58</v>
      </c>
      <c r="B62" s="23" t="str">
        <f aca="false">Anlagen!B62</f>
        <v>Kirchmöser-Lehmgarten</v>
      </c>
      <c r="C62" s="23" t="n">
        <f aca="false">IF(Anlagen!X62&lt;&gt;"",Anlagen!X62,MAX(2,CEILING(Anlagen!F62/Parz_je_AP,1)))</f>
        <v>11</v>
      </c>
      <c r="D62" s="23" t="n">
        <f aca="false">IF(Anlagen!Y62&lt;&gt;"",Anlagen!Y62,CEILING(C62/AP_je_Mast,1))</f>
        <v>5</v>
      </c>
      <c r="E62" s="23" t="n">
        <f aca="false">MAX(1,CEILING(D62*Anteil_Technik,1))</f>
        <v>3</v>
      </c>
      <c r="F62" s="37" t="n">
        <f aca="false">IF(Anlagen!Z62&lt;&gt;"",Anlagen!Z62,Leitung_k*SQRT(Anlagen!H62))</f>
        <v>327.509607840747</v>
      </c>
      <c r="G62" s="37" t="n">
        <f aca="false">F62*Faser_f</f>
        <v>543.66594901564</v>
      </c>
      <c r="H62" s="37" t="n">
        <f aca="false">F62*Kupfer_f</f>
        <v>347.160184311192</v>
      </c>
      <c r="I62" s="23" t="n">
        <f aca="false">ROUND(C62*Kabel_je_AP,0)</f>
        <v>5</v>
      </c>
      <c r="J62" s="38" t="n">
        <f aca="false">E62*(2*P_SFP+P_Flex+P_NT+P_Halter+P_Luefter+P_Spleiss+P_Saeule+P_Ueber)*EK</f>
        <v>2710.344</v>
      </c>
      <c r="K62" s="38" t="n">
        <f aca="false">(C62*P_AP+D62*(P_Mast+P_Fund+P_MontMast)+I62*2*P_Surge)*EK</f>
        <v>7354.2</v>
      </c>
      <c r="L62" s="38" t="n">
        <f aca="false">(G62*P_Faser+H62*P_Kupfer+F62*P_Tiefbau)*EK</f>
        <v>1466.1884621893</v>
      </c>
      <c r="M62" s="38" t="n">
        <f aca="false">Netz!H62+Netz!I62</f>
        <v>2320.32125843221</v>
      </c>
      <c r="N62" s="38" t="n">
        <f aca="false">J62+K62+L62+M62</f>
        <v>13851.0537206215</v>
      </c>
      <c r="O62" s="38" t="n">
        <f aca="false">E62*Strom_Mast*EK+N62*Wartung</f>
        <v>594.031611618645</v>
      </c>
      <c r="P62" s="23" t="n">
        <f aca="false">CEILING(Anlagen!F62/PG,1)</f>
        <v>1</v>
      </c>
      <c r="Q62" s="38" t="n">
        <f aca="false">J62+K62+L62+(P_KVz+P_USV+P_MontStandort+P62*(P_UCG+P_DAC)+P_Agg*CEILING((P62+E62)/Ports_Agg,1))*EK</f>
        <v>14815.1324621893</v>
      </c>
      <c r="R62" s="38" t="n">
        <f aca="false">(Uplink_Monat*12*MAX(1,CEILING(Buchungsquote!V62*Bandbreite/Ueberbuchung/Uplink_Kap,1))+Strom_Standort+P62*Strom_GW+E62*Strom_Mast)*EK+Q62*Wartung</f>
        <v>1818.90397386568</v>
      </c>
    </row>
    <row r="63" customFormat="false" ht="15" hidden="false" customHeight="false" outlineLevel="0" collapsed="false">
      <c r="A63" s="23" t="n">
        <f aca="false">Anlagen!A63</f>
        <v>59</v>
      </c>
      <c r="B63" s="23" t="str">
        <f aca="false">Anlagen!B63</f>
        <v>Kirchmöser-Ost</v>
      </c>
      <c r="C63" s="23" t="n">
        <f aca="false">IF(Anlagen!X63&lt;&gt;"",Anlagen!X63,MAX(2,CEILING(Anlagen!F63/Parz_je_AP,1)))</f>
        <v>19</v>
      </c>
      <c r="D63" s="23" t="n">
        <f aca="false">IF(Anlagen!Y63&lt;&gt;"",Anlagen!Y63,CEILING(C63/AP_je_Mast,1))</f>
        <v>9</v>
      </c>
      <c r="E63" s="23" t="n">
        <f aca="false">MAX(1,CEILING(D63*Anteil_Technik,1))</f>
        <v>5</v>
      </c>
      <c r="F63" s="37" t="n">
        <f aca="false">IF(Anlagen!Z63&lt;&gt;"",Anlagen!Z63,Leitung_k*SQRT(Anlagen!H63))</f>
        <v>439.790709701785</v>
      </c>
      <c r="G63" s="37" t="n">
        <f aca="false">F63*Faser_f</f>
        <v>730.052578104964</v>
      </c>
      <c r="H63" s="37" t="n">
        <f aca="false">F63*Kupfer_f</f>
        <v>466.178152283893</v>
      </c>
      <c r="I63" s="23" t="n">
        <f aca="false">ROUND(C63*Kabel_je_AP,0)</f>
        <v>8</v>
      </c>
      <c r="J63" s="38" t="n">
        <f aca="false">E63*(2*P_SFP+P_Flex+P_NT+P_Halter+P_Luefter+P_Spleiss+P_Saeule+P_Ueber)*EK</f>
        <v>4517.24</v>
      </c>
      <c r="K63" s="38" t="n">
        <f aca="false">(C63*P_AP+D63*(P_Mast+P_Fund+P_MontMast)+I63*2*P_Surge)*EK</f>
        <v>12971</v>
      </c>
      <c r="L63" s="38" t="n">
        <f aca="false">(G63*P_Faser+H63*P_Kupfer+F63*P_Tiefbau)*EK</f>
        <v>1968.84625337876</v>
      </c>
      <c r="M63" s="38" t="n">
        <f aca="false">Netz!H63+Netz!I63</f>
        <v>0</v>
      </c>
      <c r="N63" s="38" t="n">
        <f aca="false">J63+K63+L63+M63</f>
        <v>19457.0862533788</v>
      </c>
      <c r="O63" s="38" t="n">
        <f aca="false">E63*Strom_Mast*EK+N63*Wartung</f>
        <v>881.212587601363</v>
      </c>
      <c r="P63" s="23" t="n">
        <f aca="false">CEILING(Anlagen!F63/PG,1)</f>
        <v>2</v>
      </c>
      <c r="Q63" s="38" t="n">
        <f aca="false">J63+K63+L63+(P_KVz+P_USV+P_MontStandort+P63*(P_UCG+P_DAC)+P_Agg*CEILING((P63+E63)/Ports_Agg,1))*EK</f>
        <v>23062.7862533788</v>
      </c>
      <c r="R63" s="38" t="n">
        <f aca="false">(Uplink_Monat*12*MAX(1,CEILING(Buchungsquote!V63*Bandbreite/Ueberbuchung/Uplink_Kap,1))+Strom_Standort+P63*Strom_GW+E63*Strom_Mast)*EK+Q63*Wartung</f>
        <v>2215.08358760136</v>
      </c>
    </row>
    <row r="64" customFormat="false" ht="15" hidden="false" customHeight="false" outlineLevel="0" collapsed="false">
      <c r="A64" s="23" t="n">
        <f aca="false">Anlagen!A64</f>
        <v>60</v>
      </c>
      <c r="B64" s="23" t="str">
        <f aca="false">Anlagen!B64</f>
        <v>Landheim</v>
      </c>
      <c r="C64" s="23" t="n">
        <f aca="false">IF(Anlagen!X64&lt;&gt;"",Anlagen!X64,MAX(2,CEILING(Anlagen!F64/Parz_je_AP,1)))</f>
        <v>31</v>
      </c>
      <c r="D64" s="23" t="n">
        <f aca="false">IF(Anlagen!Y64&lt;&gt;"",Anlagen!Y64,CEILING(C64/AP_je_Mast,1))</f>
        <v>15</v>
      </c>
      <c r="E64" s="23" t="n">
        <f aca="false">MAX(1,CEILING(D64*Anteil_Technik,1))</f>
        <v>8</v>
      </c>
      <c r="F64" s="37" t="n">
        <f aca="false">IF(Anlagen!Z64&lt;&gt;"",Anlagen!Z64,Leitung_k*SQRT(Anlagen!H64))</f>
        <v>640.020244132949</v>
      </c>
      <c r="G64" s="37" t="n">
        <f aca="false">F64*Faser_f</f>
        <v>1062.4336052607</v>
      </c>
      <c r="H64" s="37" t="n">
        <f aca="false">F64*Kupfer_f</f>
        <v>678.421458780926</v>
      </c>
      <c r="I64" s="23" t="n">
        <f aca="false">ROUND(C64*Kabel_je_AP,0)</f>
        <v>13</v>
      </c>
      <c r="J64" s="38" t="n">
        <f aca="false">E64*(2*P_SFP+P_Flex+P_NT+P_Halter+P_Luefter+P_Spleiss+P_Saeule+P_Ueber)*EK</f>
        <v>7227.584</v>
      </c>
      <c r="K64" s="38" t="n">
        <f aca="false">(C64*P_AP+D64*(P_Mast+P_Fund+P_MontMast)+I64*2*P_Surge)*EK</f>
        <v>21410.48</v>
      </c>
      <c r="L64" s="38" t="n">
        <f aca="false">(G64*P_Faser+H64*P_Kupfer+F64*P_Tiefbau)*EK</f>
        <v>2865.2298285295</v>
      </c>
      <c r="M64" s="38" t="n">
        <f aca="false">Netz!H64+Netz!I64</f>
        <v>4176.66340479088</v>
      </c>
      <c r="N64" s="38" t="n">
        <f aca="false">J64+K64+L64+M64</f>
        <v>35679.9572333204</v>
      </c>
      <c r="O64" s="38" t="n">
        <f aca="false">E64*Strom_Mast*EK+N64*Wartung</f>
        <v>1546.39871699961</v>
      </c>
      <c r="P64" s="23" t="n">
        <f aca="false">CEILING(Anlagen!F64/PG,1)</f>
        <v>2</v>
      </c>
      <c r="Q64" s="38" t="n">
        <f aca="false">J64+K64+L64+(P_KVz+P_USV+P_MontStandort+P64*(P_UCG+P_DAC)+P_Agg*CEILING((P64+E64)/Ports_Agg,1))*EK</f>
        <v>35394.5938285295</v>
      </c>
      <c r="R64" s="38" t="n">
        <f aca="false">(Uplink_Monat*12*MAX(1,CEILING(Buchungsquote!V64*Bandbreite/Ueberbuchung/Uplink_Kap,1))+Strom_Standort+P64*Strom_GW+E64*Strom_Mast)*EK+Q64*Wartung</f>
        <v>2763.53781485589</v>
      </c>
    </row>
    <row r="65" customFormat="false" ht="15" hidden="false" customHeight="false" outlineLevel="0" collapsed="false">
      <c r="A65" s="23" t="n">
        <f aca="false">Anlagen!A65</f>
        <v>61</v>
      </c>
      <c r="B65" s="23" t="str">
        <f aca="false">Anlagen!B65</f>
        <v>Märkische Aue</v>
      </c>
      <c r="C65" s="23" t="n">
        <f aca="false">IF(Anlagen!X65&lt;&gt;"",Anlagen!X65,MAX(2,CEILING(Anlagen!F65/Parz_je_AP,1)))</f>
        <v>21</v>
      </c>
      <c r="D65" s="23" t="n">
        <f aca="false">IF(Anlagen!Y65&lt;&gt;"",Anlagen!Y65,CEILING(C65/AP_je_Mast,1))</f>
        <v>10</v>
      </c>
      <c r="E65" s="23" t="n">
        <f aca="false">MAX(1,CEILING(D65*Anteil_Technik,1))</f>
        <v>5</v>
      </c>
      <c r="F65" s="37" t="n">
        <f aca="false">IF(Anlagen!Z65&lt;&gt;"",Anlagen!Z65,Leitung_k*SQRT(Anlagen!H65))</f>
        <v>537.852452142779</v>
      </c>
      <c r="G65" s="37" t="n">
        <f aca="false">F65*Faser_f</f>
        <v>892.835070557013</v>
      </c>
      <c r="H65" s="37" t="n">
        <f aca="false">F65*Kupfer_f</f>
        <v>570.123599271346</v>
      </c>
      <c r="I65" s="23" t="n">
        <f aca="false">ROUND(C65*Kabel_je_AP,0)</f>
        <v>9</v>
      </c>
      <c r="J65" s="38" t="n">
        <f aca="false">E65*(2*P_SFP+P_Flex+P_NT+P_Halter+P_Luefter+P_Spleiss+P_Saeule+P_Ueber)*EK</f>
        <v>4517.24</v>
      </c>
      <c r="K65" s="38" t="n">
        <f aca="false">(C65*P_AP+D65*(P_Mast+P_Fund+P_MontMast)+I65*2*P_Surge)*EK</f>
        <v>14382.34</v>
      </c>
      <c r="L65" s="38" t="n">
        <f aca="false">(G65*P_Faser+H65*P_Kupfer+F65*P_Tiefbau)*EK</f>
        <v>2407.84710070375</v>
      </c>
      <c r="M65" s="38" t="n">
        <f aca="false">Netz!H65+Netz!I65</f>
        <v>2738.46646938089</v>
      </c>
      <c r="N65" s="38" t="n">
        <f aca="false">J65+K65+L65+M65</f>
        <v>24045.8935700846</v>
      </c>
      <c r="O65" s="38" t="n">
        <f aca="false">E65*Strom_Mast*EK+N65*Wartung</f>
        <v>1018.87680710254</v>
      </c>
      <c r="P65" s="23" t="n">
        <f aca="false">CEILING(Anlagen!F65/PG,1)</f>
        <v>2</v>
      </c>
      <c r="Q65" s="38" t="n">
        <f aca="false">J65+K65+L65+(P_KVz+P_USV+P_MontStandort+P65*(P_UCG+P_DAC)+P_Agg*CEILING((P65+E65)/Ports_Agg,1))*EK</f>
        <v>24913.1271007038</v>
      </c>
      <c r="R65" s="38" t="n">
        <f aca="false">(Uplink_Monat*12*MAX(1,CEILING(Buchungsquote!V65*Bandbreite/Ueberbuchung/Uplink_Kap,1))+Strom_Standort+P65*Strom_GW+E65*Strom_Mast)*EK+Q65*Wartung</f>
        <v>2270.59381302111</v>
      </c>
    </row>
    <row r="66" customFormat="false" ht="15" hidden="false" customHeight="false" outlineLevel="0" collapsed="false">
      <c r="A66" s="23" t="n">
        <f aca="false">Anlagen!A66</f>
        <v>62</v>
      </c>
      <c r="B66" s="23" t="str">
        <f aca="false">Anlagen!B66</f>
        <v>Mittelweg</v>
      </c>
      <c r="C66" s="23" t="n">
        <f aca="false">IF(Anlagen!X66&lt;&gt;"",Anlagen!X66,MAX(2,CEILING(Anlagen!F66/Parz_je_AP,1)))</f>
        <v>10</v>
      </c>
      <c r="D66" s="23" t="n">
        <f aca="false">IF(Anlagen!Y66&lt;&gt;"",Anlagen!Y66,CEILING(C66/AP_je_Mast,1))</f>
        <v>5</v>
      </c>
      <c r="E66" s="23" t="n">
        <f aca="false">MAX(1,CEILING(D66*Anteil_Technik,1))</f>
        <v>3</v>
      </c>
      <c r="F66" s="37" t="n">
        <f aca="false">IF(Anlagen!Z66&lt;&gt;"",Anlagen!Z66,Leitung_k*SQRT(Anlagen!H66))</f>
        <v>346.015186106044</v>
      </c>
      <c r="G66" s="37" t="n">
        <f aca="false">F66*Faser_f</f>
        <v>574.385208936032</v>
      </c>
      <c r="H66" s="37" t="n">
        <f aca="false">F66*Kupfer_f</f>
        <v>366.776097272406</v>
      </c>
      <c r="I66" s="23" t="n">
        <f aca="false">ROUND(C66*Kabel_je_AP,0)</f>
        <v>4</v>
      </c>
      <c r="J66" s="38" t="n">
        <f aca="false">E66*(2*P_SFP+P_Flex+P_NT+P_Halter+P_Luefter+P_Spleiss+P_Saeule+P_Ueber)*EK</f>
        <v>2710.344</v>
      </c>
      <c r="K66" s="38" t="n">
        <f aca="false">(C66*P_AP+D66*(P_Mast+P_Fund+P_MontMast)+I66*2*P_Surge)*EK</f>
        <v>7028.14</v>
      </c>
      <c r="L66" s="38" t="n">
        <f aca="false">(G66*P_Faser+H66*P_Kupfer+F66*P_Tiefbau)*EK</f>
        <v>1549.03386485581</v>
      </c>
      <c r="M66" s="38" t="n">
        <f aca="false">Netz!H66+Netz!I66</f>
        <v>1789.22482785809</v>
      </c>
      <c r="N66" s="38" t="n">
        <f aca="false">J66+K66+L66+M66</f>
        <v>13076.7426927139</v>
      </c>
      <c r="O66" s="38" t="n">
        <f aca="false">E66*Strom_Mast*EK+N66*Wartung</f>
        <v>570.802280781417</v>
      </c>
      <c r="P66" s="23" t="n">
        <f aca="false">CEILING(Anlagen!F66/PG,1)</f>
        <v>1</v>
      </c>
      <c r="Q66" s="38" t="n">
        <f aca="false">J66+K66+L66+(P_KVz+P_USV+P_MontStandort+P66*(P_UCG+P_DAC)+P_Agg*CEILING((P66+E66)/Ports_Agg,1))*EK</f>
        <v>14571.9178648558</v>
      </c>
      <c r="R66" s="38" t="n">
        <f aca="false">(Uplink_Monat*12*MAX(1,CEILING(Buchungsquote!V66*Bandbreite/Ueberbuchung/Uplink_Kap,1))+Strom_Standort+P66*Strom_GW+E66*Strom_Mast)*EK+Q66*Wartung</f>
        <v>1811.60753594567</v>
      </c>
    </row>
    <row r="67" customFormat="false" ht="15" hidden="false" customHeight="false" outlineLevel="0" collapsed="false">
      <c r="A67" s="23" t="n">
        <f aca="false">Anlagen!A67</f>
        <v>63</v>
      </c>
      <c r="B67" s="23" t="str">
        <f aca="false">Anlagen!B67</f>
        <v>Morgenrot</v>
      </c>
      <c r="C67" s="23" t="n">
        <f aca="false">IF(Anlagen!X67&lt;&gt;"",Anlagen!X67,MAX(2,CEILING(Anlagen!F67/Parz_je_AP,1)))</f>
        <v>7</v>
      </c>
      <c r="D67" s="23" t="n">
        <f aca="false">IF(Anlagen!Y67&lt;&gt;"",Anlagen!Y67,CEILING(C67/AP_je_Mast,1))</f>
        <v>4</v>
      </c>
      <c r="E67" s="23" t="n">
        <f aca="false">MAX(1,CEILING(D67*Anteil_Technik,1))</f>
        <v>2</v>
      </c>
      <c r="F67" s="37" t="n">
        <f aca="false">IF(Anlagen!Z67&lt;&gt;"",Anlagen!Z67,Leitung_k*SQRT(Anlagen!H67))</f>
        <v>332.839388474381</v>
      </c>
      <c r="G67" s="37" t="n">
        <f aca="false">F67*Faser_f</f>
        <v>552.513384867473</v>
      </c>
      <c r="H67" s="37" t="n">
        <f aca="false">F67*Kupfer_f</f>
        <v>352.809751782844</v>
      </c>
      <c r="I67" s="23" t="n">
        <f aca="false">ROUND(C67*Kabel_je_AP,0)</f>
        <v>3</v>
      </c>
      <c r="J67" s="38" t="n">
        <f aca="false">E67*(2*P_SFP+P_Flex+P_NT+P_Halter+P_Luefter+P_Spleiss+P_Saeule+P_Ueber)*EK</f>
        <v>1806.896</v>
      </c>
      <c r="K67" s="38" t="n">
        <f aca="false">(C67*P_AP+D67*(P_Mast+P_Fund+P_MontMast)+I67*2*P_Surge)*EK</f>
        <v>5319.3</v>
      </c>
      <c r="L67" s="38" t="n">
        <f aca="false">(G67*P_Faser+H67*P_Kupfer+F67*P_Tiefbau)*EK</f>
        <v>1490.04871753434</v>
      </c>
      <c r="M67" s="38" t="n">
        <f aca="false">Netz!H67+Netz!I67</f>
        <v>1430.023</v>
      </c>
      <c r="N67" s="38" t="n">
        <f aca="false">J67+K67+L67+M67</f>
        <v>10046.2677175343</v>
      </c>
      <c r="O67" s="38" t="n">
        <f aca="false">E67*Strom_Mast*EK+N67*Wartung</f>
        <v>420.38803152603</v>
      </c>
      <c r="P67" s="23" t="n">
        <f aca="false">CEILING(Anlagen!F67/PG,1)</f>
        <v>1</v>
      </c>
      <c r="Q67" s="38" t="n">
        <f aca="false">J67+K67+L67+(P_KVz+P_USV+P_MontStandort+P67*(P_UCG+P_DAC)+P_Agg*CEILING((P67+E67)/Ports_Agg,1))*EK</f>
        <v>11900.6447175343</v>
      </c>
      <c r="R67" s="38" t="n">
        <f aca="false">(Uplink_Monat*12*MAX(1,CEILING(Buchungsquote!V67*Bandbreite/Ueberbuchung/Uplink_Kap,1))+Strom_Standort+P67*Strom_GW+E67*Strom_Mast)*EK+Q67*Wartung</f>
        <v>1671.96934152603</v>
      </c>
    </row>
    <row r="68" customFormat="false" ht="15" hidden="false" customHeight="false" outlineLevel="0" collapsed="false">
      <c r="A68" s="23" t="n">
        <f aca="false">Anlagen!A68</f>
        <v>64</v>
      </c>
      <c r="B68" s="23" t="str">
        <f aca="false">Anlagen!B68</f>
        <v>Neues Leben</v>
      </c>
      <c r="C68" s="23" t="n">
        <f aca="false">IF(Anlagen!X68&lt;&gt;"",Anlagen!X68,MAX(2,CEILING(Anlagen!F68/Parz_je_AP,1)))</f>
        <v>18</v>
      </c>
      <c r="D68" s="23" t="n">
        <f aca="false">IF(Anlagen!Y68&lt;&gt;"",Anlagen!Y68,CEILING(C68/AP_je_Mast,1))</f>
        <v>9</v>
      </c>
      <c r="E68" s="23" t="n">
        <f aca="false">MAX(1,CEILING(D68*Anteil_Technik,1))</f>
        <v>5</v>
      </c>
      <c r="F68" s="37" t="n">
        <f aca="false">IF(Anlagen!Z68&lt;&gt;"",Anlagen!Z68,Leitung_k*SQRT(Anlagen!H68))</f>
        <v>524.804522922583</v>
      </c>
      <c r="G68" s="37" t="n">
        <f aca="false">F68*Faser_f</f>
        <v>871.175508051488</v>
      </c>
      <c r="H68" s="37" t="n">
        <f aca="false">F68*Kupfer_f</f>
        <v>556.292794297938</v>
      </c>
      <c r="I68" s="23" t="n">
        <f aca="false">ROUND(C68*Kabel_je_AP,0)</f>
        <v>8</v>
      </c>
      <c r="J68" s="38" t="n">
        <f aca="false">E68*(2*P_SFP+P_Flex+P_NT+P_Halter+P_Luefter+P_Spleiss+P_Saeule+P_Ueber)*EK</f>
        <v>4517.24</v>
      </c>
      <c r="K68" s="38" t="n">
        <f aca="false">(C68*P_AP+D68*(P_Mast+P_Fund+P_MontMast)+I68*2*P_Surge)*EK</f>
        <v>12673.5</v>
      </c>
      <c r="L68" s="38" t="n">
        <f aca="false">(G68*P_Faser+H68*P_Kupfer+F68*P_Tiefbau)*EK</f>
        <v>2349.43439212936</v>
      </c>
      <c r="M68" s="38" t="n">
        <f aca="false">Netz!H68+Netz!I68</f>
        <v>2493.4530451557</v>
      </c>
      <c r="N68" s="38" t="n">
        <f aca="false">J68+K68+L68+M68</f>
        <v>22033.6274372851</v>
      </c>
      <c r="O68" s="38" t="n">
        <f aca="false">E68*Strom_Mast*EK+N68*Wartung</f>
        <v>958.508823118552</v>
      </c>
      <c r="P68" s="23" t="n">
        <f aca="false">CEILING(Anlagen!F68/PG,1)</f>
        <v>2</v>
      </c>
      <c r="Q68" s="38" t="n">
        <f aca="false">J68+K68+L68+(P_KVz+P_USV+P_MontStandort+P68*(P_UCG+P_DAC)+P_Agg*CEILING((P68+E68)/Ports_Agg,1))*EK</f>
        <v>23145.8743921294</v>
      </c>
      <c r="R68" s="38" t="n">
        <f aca="false">(Uplink_Monat*12*MAX(1,CEILING(Buchungsquote!V68*Bandbreite/Ueberbuchung/Uplink_Kap,1))+Strom_Standort+P68*Strom_GW+E68*Strom_Mast)*EK+Q68*Wartung</f>
        <v>2217.57623176388</v>
      </c>
    </row>
    <row r="69" customFormat="false" ht="15" hidden="false" customHeight="false" outlineLevel="0" collapsed="false">
      <c r="A69" s="23" t="n">
        <f aca="false">Anlagen!A69</f>
        <v>65</v>
      </c>
      <c r="B69" s="23" t="str">
        <f aca="false">Anlagen!B69</f>
        <v>Neu-Sanssouci</v>
      </c>
      <c r="C69" s="23" t="n">
        <f aca="false">IF(Anlagen!X69&lt;&gt;"",Anlagen!X69,MAX(2,CEILING(Anlagen!F69/Parz_je_AP,1)))</f>
        <v>22</v>
      </c>
      <c r="D69" s="23" t="n">
        <f aca="false">IF(Anlagen!Y69&lt;&gt;"",Anlagen!Y69,CEILING(C69/AP_je_Mast,1))</f>
        <v>10</v>
      </c>
      <c r="E69" s="23" t="n">
        <f aca="false">MAX(1,CEILING(D69*Anteil_Technik,1))</f>
        <v>5</v>
      </c>
      <c r="F69" s="37" t="n">
        <f aca="false">IF(Anlagen!Z69&lt;&gt;"",Anlagen!Z69,Leitung_k*SQRT(Anlagen!H69))</f>
        <v>492.211112958657</v>
      </c>
      <c r="G69" s="37" t="n">
        <f aca="false">F69*Faser_f</f>
        <v>817.070447511371</v>
      </c>
      <c r="H69" s="37" t="n">
        <f aca="false">F69*Kupfer_f</f>
        <v>521.743779736177</v>
      </c>
      <c r="I69" s="23" t="n">
        <f aca="false">ROUND(C69*Kabel_je_AP,0)</f>
        <v>9</v>
      </c>
      <c r="J69" s="38" t="n">
        <f aca="false">E69*(2*P_SFP+P_Flex+P_NT+P_Halter+P_Luefter+P_Spleiss+P_Saeule+P_Ueber)*EK</f>
        <v>4517.24</v>
      </c>
      <c r="K69" s="38" t="n">
        <f aca="false">(C69*P_AP+D69*(P_Mast+P_Fund+P_MontMast)+I69*2*P_Surge)*EK</f>
        <v>14679.84</v>
      </c>
      <c r="L69" s="38" t="n">
        <f aca="false">(G69*P_Faser+H69*P_Kupfer+F69*P_Tiefbau)*EK</f>
        <v>2203.52086627106</v>
      </c>
      <c r="M69" s="38" t="n">
        <f aca="false">Netz!H69+Netz!I69</f>
        <v>2265.1754781292</v>
      </c>
      <c r="N69" s="38" t="n">
        <f aca="false">J69+K69+L69+M69</f>
        <v>23665.7763444003</v>
      </c>
      <c r="O69" s="38" t="n">
        <f aca="false">E69*Strom_Mast*EK+N69*Wartung</f>
        <v>1007.47329033201</v>
      </c>
      <c r="P69" s="23" t="n">
        <f aca="false">CEILING(Anlagen!F69/PG,1)</f>
        <v>2</v>
      </c>
      <c r="Q69" s="38" t="n">
        <f aca="false">J69+K69+L69+(P_KVz+P_USV+P_MontStandort+P69*(P_UCG+P_DAC)+P_Agg*CEILING((P69+E69)/Ports_Agg,1))*EK</f>
        <v>25006.3008662711</v>
      </c>
      <c r="R69" s="38" t="n">
        <f aca="false">(Uplink_Monat*12*MAX(1,CEILING(Buchungsquote!V69*Bandbreite/Ueberbuchung/Uplink_Kap,1))+Strom_Standort+P69*Strom_GW+E69*Strom_Mast)*EK+Q69*Wartung</f>
        <v>2273.38902598813</v>
      </c>
    </row>
    <row r="70" customFormat="false" ht="15" hidden="false" customHeight="false" outlineLevel="0" collapsed="false">
      <c r="A70" s="23" t="n">
        <f aca="false">Anlagen!A70</f>
        <v>66</v>
      </c>
      <c r="B70" s="23" t="str">
        <f aca="false">Anlagen!B70</f>
        <v>Oase</v>
      </c>
      <c r="C70" s="23" t="n">
        <f aca="false">IF(Anlagen!X70&lt;&gt;"",Anlagen!X70,MAX(2,CEILING(Anlagen!F70/Parz_je_AP,1)))</f>
        <v>14</v>
      </c>
      <c r="D70" s="23" t="n">
        <f aca="false">IF(Anlagen!Y70&lt;&gt;"",Anlagen!Y70,CEILING(C70/AP_je_Mast,1))</f>
        <v>7</v>
      </c>
      <c r="E70" s="23" t="n">
        <f aca="false">MAX(1,CEILING(D70*Anteil_Technik,1))</f>
        <v>4</v>
      </c>
      <c r="F70" s="37" t="n">
        <f aca="false">IF(Anlagen!Z70&lt;&gt;"",Anlagen!Z70,Leitung_k*SQRT(Anlagen!H70))</f>
        <v>444.403433591596</v>
      </c>
      <c r="G70" s="37" t="n">
        <f aca="false">F70*Faser_f</f>
        <v>737.709699762049</v>
      </c>
      <c r="H70" s="37" t="n">
        <f aca="false">F70*Kupfer_f</f>
        <v>471.067639607092</v>
      </c>
      <c r="I70" s="23" t="n">
        <f aca="false">ROUND(C70*Kabel_je_AP,0)</f>
        <v>6</v>
      </c>
      <c r="J70" s="38" t="n">
        <f aca="false">E70*(2*P_SFP+P_Flex+P_NT+P_Halter+P_Luefter+P_Spleiss+P_Saeule+P_Ueber)*EK</f>
        <v>3613.792</v>
      </c>
      <c r="K70" s="38" t="n">
        <f aca="false">(C70*P_AP+D70*(P_Mast+P_Fund+P_MontMast)+I70*2*P_Surge)*EK</f>
        <v>9850.82</v>
      </c>
      <c r="L70" s="38" t="n">
        <f aca="false">(G70*P_Faser+H70*P_Kupfer+F70*P_Tiefbau)*EK</f>
        <v>1989.49640343419</v>
      </c>
      <c r="M70" s="38" t="n">
        <f aca="false">Netz!H70+Netz!I70</f>
        <v>2732.27872517299</v>
      </c>
      <c r="N70" s="38" t="n">
        <f aca="false">J70+K70+L70+M70</f>
        <v>18186.3871286072</v>
      </c>
      <c r="O70" s="38" t="n">
        <f aca="false">E70*Strom_Mast*EK+N70*Wartung</f>
        <v>783.591613858215</v>
      </c>
      <c r="P70" s="23" t="n">
        <f aca="false">CEILING(Anlagen!F70/PG,1)</f>
        <v>1</v>
      </c>
      <c r="Q70" s="38" t="n">
        <f aca="false">J70+K70+L70+(P_KVz+P_USV+P_MontStandort+P70*(P_UCG+P_DAC)+P_Agg*CEILING((P70+E70)/Ports_Agg,1))*EK</f>
        <v>18738.5084034342</v>
      </c>
      <c r="R70" s="38" t="n">
        <f aca="false">(Uplink_Monat*12*MAX(1,CEILING(Buchungsquote!V70*Bandbreite/Ueberbuchung/Uplink_Kap,1))+Strom_Standort+P70*Strom_GW+E70*Strom_Mast)*EK+Q70*Wartung</f>
        <v>1996.10525210303</v>
      </c>
    </row>
    <row r="71" customFormat="false" ht="15" hidden="false" customHeight="false" outlineLevel="0" collapsed="false">
      <c r="A71" s="23" t="n">
        <f aca="false">Anlagen!A71</f>
        <v>67</v>
      </c>
      <c r="B71" s="23" t="str">
        <f aca="false">Anlagen!B71</f>
        <v>Pferdewiese</v>
      </c>
      <c r="C71" s="23" t="n">
        <f aca="false">IF(Anlagen!X71&lt;&gt;"",Anlagen!X71,MAX(2,CEILING(Anlagen!F71/Parz_je_AP,1)))</f>
        <v>16</v>
      </c>
      <c r="D71" s="23" t="n">
        <f aca="false">IF(Anlagen!Y71&lt;&gt;"",Anlagen!Y71,CEILING(C71/AP_je_Mast,1))</f>
        <v>8</v>
      </c>
      <c r="E71" s="23" t="n">
        <f aca="false">MAX(1,CEILING(D71*Anteil_Technik,1))</f>
        <v>4</v>
      </c>
      <c r="F71" s="37" t="n">
        <f aca="false">IF(Anlagen!Z71&lt;&gt;"",Anlagen!Z71,Leitung_k*SQRT(Anlagen!H71))</f>
        <v>486.863237244301</v>
      </c>
      <c r="G71" s="37" t="n">
        <f aca="false">F71*Faser_f</f>
        <v>808.192973825539</v>
      </c>
      <c r="H71" s="37" t="n">
        <f aca="false">F71*Kupfer_f</f>
        <v>516.075031478959</v>
      </c>
      <c r="I71" s="23" t="n">
        <f aca="false">ROUND(C71*Kabel_je_AP,0)</f>
        <v>7</v>
      </c>
      <c r="J71" s="38" t="n">
        <f aca="false">E71*(2*P_SFP+P_Flex+P_NT+P_Halter+P_Luefter+P_Spleiss+P_Saeule+P_Ueber)*EK</f>
        <v>3613.792</v>
      </c>
      <c r="K71" s="38" t="n">
        <f aca="false">(C71*P_AP+D71*(P_Mast+P_Fund+P_MontMast)+I71*2*P_Surge)*EK</f>
        <v>11262.16</v>
      </c>
      <c r="L71" s="38" t="n">
        <f aca="false">(G71*P_Faser+H71*P_Kupfer+F71*P_Tiefbau)*EK</f>
        <v>2179.57960323054</v>
      </c>
      <c r="M71" s="38" t="n">
        <f aca="false">Netz!H71+Netz!I71</f>
        <v>3386.14724626756</v>
      </c>
      <c r="N71" s="38" t="n">
        <f aca="false">J71+K71+L71+M71</f>
        <v>20441.6788494981</v>
      </c>
      <c r="O71" s="38" t="n">
        <f aca="false">E71*Strom_Mast*EK+N71*Wartung</f>
        <v>851.250365484943</v>
      </c>
      <c r="P71" s="23" t="n">
        <f aca="false">CEILING(Anlagen!F71/PG,1)</f>
        <v>1</v>
      </c>
      <c r="Q71" s="38" t="n">
        <f aca="false">J71+K71+L71+(P_KVz+P_USV+P_MontStandort+P71*(P_UCG+P_DAC)+P_Agg*CEILING((P71+E71)/Ports_Agg,1))*EK</f>
        <v>20339.9316032305</v>
      </c>
      <c r="R71" s="38" t="n">
        <f aca="false">(Uplink_Monat*12*MAX(1,CEILING(Buchungsquote!V71*Bandbreite/Ueberbuchung/Uplink_Kap,1))+Strom_Standort+P71*Strom_GW+E71*Strom_Mast)*EK+Q71*Wartung</f>
        <v>2044.14794809692</v>
      </c>
    </row>
    <row r="72" customFormat="false" ht="15" hidden="false" customHeight="false" outlineLevel="0" collapsed="false">
      <c r="A72" s="23" t="n">
        <f aca="false">Anlagen!A72</f>
        <v>68</v>
      </c>
      <c r="B72" s="23" t="str">
        <f aca="false">Anlagen!B72</f>
        <v>Plane II</v>
      </c>
      <c r="C72" s="23" t="n">
        <f aca="false">IF(Anlagen!X72&lt;&gt;"",Anlagen!X72,MAX(2,CEILING(Anlagen!F72/Parz_je_AP,1)))</f>
        <v>8</v>
      </c>
      <c r="D72" s="23" t="n">
        <f aca="false">IF(Anlagen!Y72&lt;&gt;"",Anlagen!Y72,CEILING(C72/AP_je_Mast,1))</f>
        <v>4</v>
      </c>
      <c r="E72" s="23" t="n">
        <f aca="false">MAX(1,CEILING(D72*Anteil_Technik,1))</f>
        <v>2</v>
      </c>
      <c r="F72" s="37" t="n">
        <f aca="false">IF(Anlagen!Z72&lt;&gt;"",Anlagen!Z72,Leitung_k*SQRT(Anlagen!H72))</f>
        <v>341.076196618879</v>
      </c>
      <c r="G72" s="37" t="n">
        <f aca="false">F72*Faser_f</f>
        <v>566.186486387339</v>
      </c>
      <c r="H72" s="37" t="n">
        <f aca="false">F72*Kupfer_f</f>
        <v>361.540768416011</v>
      </c>
      <c r="I72" s="23" t="n">
        <f aca="false">ROUND(C72*Kabel_je_AP,0)</f>
        <v>3</v>
      </c>
      <c r="J72" s="38" t="n">
        <f aca="false">E72*(2*P_SFP+P_Flex+P_NT+P_Halter+P_Luefter+P_Spleiss+P_Saeule+P_Ueber)*EK</f>
        <v>1806.896</v>
      </c>
      <c r="K72" s="38" t="n">
        <f aca="false">(C72*P_AP+D72*(P_Mast+P_Fund+P_MontMast)+I72*2*P_Surge)*EK</f>
        <v>5616.8</v>
      </c>
      <c r="L72" s="38" t="n">
        <f aca="false">(G72*P_Faser+H72*P_Kupfer+F72*P_Tiefbau)*EK</f>
        <v>1526.92309549946</v>
      </c>
      <c r="M72" s="38" t="n">
        <f aca="false">Netz!H72+Netz!I72</f>
        <v>4187.3457999163</v>
      </c>
      <c r="N72" s="38" t="n">
        <f aca="false">J72+K72+L72+M72</f>
        <v>13137.9648954158</v>
      </c>
      <c r="O72" s="38" t="n">
        <f aca="false">E72*Strom_Mast*EK+N72*Wartung</f>
        <v>513.138946862473</v>
      </c>
      <c r="P72" s="23" t="n">
        <f aca="false">CEILING(Anlagen!F72/PG,1)</f>
        <v>1</v>
      </c>
      <c r="Q72" s="38" t="n">
        <f aca="false">J72+K72+L72+(P_KVz+P_USV+P_MontStandort+P72*(P_UCG+P_DAC)+P_Agg*CEILING((P72+E72)/Ports_Agg,1))*EK</f>
        <v>12235.0190954995</v>
      </c>
      <c r="R72" s="38" t="n">
        <f aca="false">(Uplink_Monat*12*MAX(1,CEILING(Buchungsquote!V72*Bandbreite/Ueberbuchung/Uplink_Kap,1))+Strom_Standort+P72*Strom_GW+E72*Strom_Mast)*EK+Q72*Wartung</f>
        <v>1682.00057286498</v>
      </c>
    </row>
    <row r="73" customFormat="false" ht="15" hidden="false" customHeight="false" outlineLevel="0" collapsed="false">
      <c r="A73" s="23" t="n">
        <f aca="false">Anlagen!A73</f>
        <v>69</v>
      </c>
      <c r="B73" s="23" t="str">
        <f aca="false">Anlagen!B73</f>
        <v>Platz der Einheit</v>
      </c>
      <c r="C73" s="23" t="n">
        <f aca="false">IF(Anlagen!X73&lt;&gt;"",Anlagen!X73,MAX(2,CEILING(Anlagen!F73/Parz_je_AP,1)))</f>
        <v>14</v>
      </c>
      <c r="D73" s="23" t="n">
        <f aca="false">IF(Anlagen!Y73&lt;&gt;"",Anlagen!Y73,CEILING(C73/AP_je_Mast,1))</f>
        <v>7</v>
      </c>
      <c r="E73" s="23" t="n">
        <f aca="false">MAX(1,CEILING(D73*Anteil_Technik,1))</f>
        <v>4</v>
      </c>
      <c r="F73" s="37" t="n">
        <f aca="false">IF(Anlagen!Z73&lt;&gt;"",Anlagen!Z73,Leitung_k*SQRT(Anlagen!H73))</f>
        <v>385.822449082476</v>
      </c>
      <c r="G73" s="37" t="n">
        <f aca="false">F73*Faser_f</f>
        <v>640.465265476911</v>
      </c>
      <c r="H73" s="37" t="n">
        <f aca="false">F73*Kupfer_f</f>
        <v>408.971796027425</v>
      </c>
      <c r="I73" s="23" t="n">
        <f aca="false">ROUND(C73*Kabel_je_AP,0)</f>
        <v>6</v>
      </c>
      <c r="J73" s="38" t="n">
        <f aca="false">E73*(2*P_SFP+P_Flex+P_NT+P_Halter+P_Luefter+P_Spleiss+P_Saeule+P_Ueber)*EK</f>
        <v>3613.792</v>
      </c>
      <c r="K73" s="38" t="n">
        <f aca="false">(C73*P_AP+D73*(P_Mast+P_Fund+P_MontMast)+I73*2*P_Surge)*EK</f>
        <v>9850.82</v>
      </c>
      <c r="L73" s="38" t="n">
        <f aca="false">(G73*P_Faser+H73*P_Kupfer+F73*P_Tiefbau)*EK</f>
        <v>1727.24222360345</v>
      </c>
      <c r="M73" s="38" t="n">
        <f aca="false">Netz!H73+Netz!I73</f>
        <v>2437.40605884948</v>
      </c>
      <c r="N73" s="38" t="n">
        <f aca="false">J73+K73+L73+M73</f>
        <v>17629.2602824529</v>
      </c>
      <c r="O73" s="38" t="n">
        <f aca="false">E73*Strom_Mast*EK+N73*Wartung</f>
        <v>766.877808473588</v>
      </c>
      <c r="P73" s="23" t="n">
        <f aca="false">CEILING(Anlagen!F73/PG,1)</f>
        <v>1</v>
      </c>
      <c r="Q73" s="38" t="n">
        <f aca="false">J73+K73+L73+(P_KVz+P_USV+P_MontStandort+P73*(P_UCG+P_DAC)+P_Agg*CEILING((P73+E73)/Ports_Agg,1))*EK</f>
        <v>18476.2542236035</v>
      </c>
      <c r="R73" s="38" t="n">
        <f aca="false">(Uplink_Monat*12*MAX(1,CEILING(Buchungsquote!V73*Bandbreite/Ueberbuchung/Uplink_Kap,1))+Strom_Standort+P73*Strom_GW+E73*Strom_Mast)*EK+Q73*Wartung</f>
        <v>1988.2376267081</v>
      </c>
    </row>
    <row r="74" customFormat="false" ht="15" hidden="false" customHeight="false" outlineLevel="0" collapsed="false">
      <c r="A74" s="23" t="n">
        <f aca="false">Anlagen!A74</f>
        <v>70</v>
      </c>
      <c r="B74" s="23" t="str">
        <f aca="false">Anlagen!B74</f>
        <v>Sandfurth-Oase</v>
      </c>
      <c r="C74" s="23" t="n">
        <f aca="false">IF(Anlagen!X74&lt;&gt;"",Anlagen!X74,MAX(2,CEILING(Anlagen!F74/Parz_je_AP,1)))</f>
        <v>5</v>
      </c>
      <c r="D74" s="23" t="n">
        <f aca="false">IF(Anlagen!Y74&lt;&gt;"",Anlagen!Y74,CEILING(C74/AP_je_Mast,1))</f>
        <v>3</v>
      </c>
      <c r="E74" s="23" t="n">
        <f aca="false">MAX(1,CEILING(D74*Anteil_Technik,1))</f>
        <v>2</v>
      </c>
      <c r="F74" s="37" t="n">
        <f aca="false">IF(Anlagen!Z74&lt;&gt;"",Anlagen!Z74,Leitung_k*SQRT(Anlagen!H74))</f>
        <v>247.262580145076</v>
      </c>
      <c r="G74" s="37" t="n">
        <f aca="false">F74*Faser_f</f>
        <v>410.455883040826</v>
      </c>
      <c r="H74" s="37" t="n">
        <f aca="false">F74*Kupfer_f</f>
        <v>262.09833495378</v>
      </c>
      <c r="I74" s="23" t="n">
        <f aca="false">ROUND(C74*Kabel_je_AP,0)</f>
        <v>2</v>
      </c>
      <c r="J74" s="38" t="n">
        <f aca="false">E74*(2*P_SFP+P_Flex+P_NT+P_Halter+P_Luefter+P_Spleiss+P_Saeule+P_Ueber)*EK</f>
        <v>1806.896</v>
      </c>
      <c r="K74" s="38" t="n">
        <f aca="false">(C74*P_AP+D74*(P_Mast+P_Fund+P_MontMast)+I74*2*P_Surge)*EK</f>
        <v>3907.96</v>
      </c>
      <c r="L74" s="38" t="n">
        <f aca="false">(G74*P_Faser+H74*P_Kupfer+F74*P_Tiefbau)*EK</f>
        <v>1106.94017354187</v>
      </c>
      <c r="M74" s="38" t="n">
        <f aca="false">Netz!H74+Netz!I74</f>
        <v>1974.66217430217</v>
      </c>
      <c r="N74" s="38" t="n">
        <f aca="false">J74+K74+L74+M74</f>
        <v>8796.45834784404</v>
      </c>
      <c r="O74" s="38" t="n">
        <f aca="false">E74*Strom_Mast*EK+N74*Wartung</f>
        <v>382.893750435321</v>
      </c>
      <c r="P74" s="23" t="n">
        <f aca="false">CEILING(Anlagen!F74/PG,1)</f>
        <v>1</v>
      </c>
      <c r="Q74" s="38" t="n">
        <f aca="false">J74+K74+L74+(P_KVz+P_USV+P_MontStandort+P74*(P_UCG+P_DAC)+P_Agg*CEILING((P74+E74)/Ports_Agg,1))*EK</f>
        <v>10106.1961735419</v>
      </c>
      <c r="R74" s="38" t="n">
        <f aca="false">(Uplink_Monat*12*MAX(1,CEILING(Buchungsquote!V74*Bandbreite/Ueberbuchung/Uplink_Kap,1))+Strom_Standort+P74*Strom_GW+E74*Strom_Mast)*EK+Q74*Wartung</f>
        <v>1618.13588520626</v>
      </c>
    </row>
    <row r="75" customFormat="false" ht="15" hidden="false" customHeight="false" outlineLevel="0" collapsed="false">
      <c r="A75" s="23" t="n">
        <f aca="false">Anlagen!A75</f>
        <v>71</v>
      </c>
      <c r="B75" s="23" t="str">
        <f aca="false">Anlagen!B75</f>
        <v>Sanssouci</v>
      </c>
      <c r="C75" s="23" t="n">
        <f aca="false">IF(Anlagen!X75&lt;&gt;"",Anlagen!X75,MAX(2,CEILING(Anlagen!F75/Parz_je_AP,1)))</f>
        <v>11</v>
      </c>
      <c r="D75" s="23" t="n">
        <f aca="false">IF(Anlagen!Y75&lt;&gt;"",Anlagen!Y75,CEILING(C75/AP_je_Mast,1))</f>
        <v>5</v>
      </c>
      <c r="E75" s="23" t="n">
        <f aca="false">MAX(1,CEILING(D75*Anteil_Technik,1))</f>
        <v>3</v>
      </c>
      <c r="F75" s="37" t="n">
        <f aca="false">IF(Anlagen!Z75&lt;&gt;"",Anlagen!Z75,Leitung_k*SQRT(Anlagen!H75))</f>
        <v>364.21836764227</v>
      </c>
      <c r="G75" s="37" t="n">
        <f aca="false">F75*Faser_f</f>
        <v>604.602490286169</v>
      </c>
      <c r="H75" s="37" t="n">
        <f aca="false">F75*Kupfer_f</f>
        <v>386.071469700807</v>
      </c>
      <c r="I75" s="23" t="n">
        <f aca="false">ROUND(C75*Kabel_je_AP,0)</f>
        <v>5</v>
      </c>
      <c r="J75" s="38" t="n">
        <f aca="false">E75*(2*P_SFP+P_Flex+P_NT+P_Halter+P_Luefter+P_Spleiss+P_Saeule+P_Ueber)*EK</f>
        <v>2710.344</v>
      </c>
      <c r="K75" s="38" t="n">
        <f aca="false">(C75*P_AP+D75*(P_Mast+P_Fund+P_MontMast)+I75*2*P_Surge)*EK</f>
        <v>7354.2</v>
      </c>
      <c r="L75" s="38" t="n">
        <f aca="false">(G75*P_Faser+H75*P_Kupfer+F75*P_Tiefbau)*EK</f>
        <v>1630.52550389356</v>
      </c>
      <c r="M75" s="38" t="n">
        <f aca="false">Netz!H75+Netz!I75</f>
        <v>3263.218</v>
      </c>
      <c r="N75" s="38" t="n">
        <f aca="false">J75+K75+L75+M75</f>
        <v>14958.2875038936</v>
      </c>
      <c r="O75" s="38" t="n">
        <f aca="false">E75*Strom_Mast*EK+N75*Wartung</f>
        <v>627.248625116807</v>
      </c>
      <c r="P75" s="23" t="n">
        <f aca="false">CEILING(Anlagen!F75/PG,1)</f>
        <v>1</v>
      </c>
      <c r="Q75" s="38" t="n">
        <f aca="false">J75+K75+L75+(P_KVz+P_USV+P_MontStandort+P75*(P_UCG+P_DAC)+P_Agg*CEILING((P75+E75)/Ports_Agg,1))*EK</f>
        <v>14979.4695038936</v>
      </c>
      <c r="R75" s="38" t="n">
        <f aca="false">(Uplink_Monat*12*MAX(1,CEILING(Buchungsquote!V75*Bandbreite/Ueberbuchung/Uplink_Kap,1))+Strom_Standort+P75*Strom_GW+E75*Strom_Mast)*EK+Q75*Wartung</f>
        <v>1823.83408511681</v>
      </c>
    </row>
    <row r="76" customFormat="false" ht="15" hidden="false" customHeight="false" outlineLevel="0" collapsed="false">
      <c r="A76" s="23" t="n">
        <f aca="false">Anlagen!A76</f>
        <v>72</v>
      </c>
      <c r="B76" s="23" t="str">
        <f aca="false">Anlagen!B76</f>
        <v>Sommerfreude I</v>
      </c>
      <c r="C76" s="23" t="n">
        <f aca="false">IF(Anlagen!X76&lt;&gt;"",Anlagen!X76,MAX(2,CEILING(Anlagen!F76/Parz_je_AP,1)))</f>
        <v>14</v>
      </c>
      <c r="D76" s="23" t="n">
        <f aca="false">IF(Anlagen!Y76&lt;&gt;"",Anlagen!Y76,CEILING(C76/AP_je_Mast,1))</f>
        <v>7</v>
      </c>
      <c r="E76" s="23" t="n">
        <f aca="false">MAX(1,CEILING(D76*Anteil_Technik,1))</f>
        <v>4</v>
      </c>
      <c r="F76" s="37" t="n">
        <f aca="false">IF(Anlagen!Z76&lt;&gt;"",Anlagen!Z76,Leitung_k*SQRT(Anlagen!H76))</f>
        <v>443.179252695791</v>
      </c>
      <c r="G76" s="37" t="n">
        <f aca="false">F76*Faser_f</f>
        <v>735.677559475014</v>
      </c>
      <c r="H76" s="37" t="n">
        <f aca="false">F76*Kupfer_f</f>
        <v>469.770007857539</v>
      </c>
      <c r="I76" s="23" t="n">
        <f aca="false">ROUND(C76*Kabel_je_AP,0)</f>
        <v>6</v>
      </c>
      <c r="J76" s="38" t="n">
        <f aca="false">E76*(2*P_SFP+P_Flex+P_NT+P_Halter+P_Luefter+P_Spleiss+P_Saeule+P_Ueber)*EK</f>
        <v>3613.792</v>
      </c>
      <c r="K76" s="38" t="n">
        <f aca="false">(C76*P_AP+D76*(P_Mast+P_Fund+P_MontMast)+I76*2*P_Surge)*EK</f>
        <v>9850.82</v>
      </c>
      <c r="L76" s="38" t="n">
        <f aca="false">(G76*P_Faser+H76*P_Kupfer+F76*P_Tiefbau)*EK</f>
        <v>1984.01601488346</v>
      </c>
      <c r="M76" s="38" t="n">
        <f aca="false">Netz!H76+Netz!I76</f>
        <v>1517.93036756204</v>
      </c>
      <c r="N76" s="38" t="n">
        <f aca="false">J76+K76+L76+M76</f>
        <v>16966.5583824455</v>
      </c>
      <c r="O76" s="38" t="n">
        <f aca="false">E76*Strom_Mast*EK+N76*Wartung</f>
        <v>746.996751473365</v>
      </c>
      <c r="P76" s="23" t="n">
        <f aca="false">CEILING(Anlagen!F76/PG,1)</f>
        <v>1</v>
      </c>
      <c r="Q76" s="38" t="n">
        <f aca="false">J76+K76+L76+(P_KVz+P_USV+P_MontStandort+P76*(P_UCG+P_DAC)+P_Agg*CEILING((P76+E76)/Ports_Agg,1))*EK</f>
        <v>18733.0280148835</v>
      </c>
      <c r="R76" s="38" t="n">
        <f aca="false">(Uplink_Monat*12*MAX(1,CEILING(Buchungsquote!V76*Bandbreite/Ueberbuchung/Uplink_Kap,1))+Strom_Standort+P76*Strom_GW+E76*Strom_Mast)*EK+Q76*Wartung</f>
        <v>1995.9408404465</v>
      </c>
    </row>
    <row r="77" customFormat="false" ht="15" hidden="false" customHeight="false" outlineLevel="0" collapsed="false">
      <c r="A77" s="23" t="n">
        <f aca="false">Anlagen!A77</f>
        <v>73</v>
      </c>
      <c r="B77" s="23" t="str">
        <f aca="false">Anlagen!B77</f>
        <v>Sommerfreude II</v>
      </c>
      <c r="C77" s="23" t="n">
        <f aca="false">IF(Anlagen!X77&lt;&gt;"",Anlagen!X77,MAX(2,CEILING(Anlagen!F77/Parz_je_AP,1)))</f>
        <v>37</v>
      </c>
      <c r="D77" s="23" t="n">
        <f aca="false">IF(Anlagen!Y77&lt;&gt;"",Anlagen!Y77,CEILING(C77/AP_je_Mast,1))</f>
        <v>17</v>
      </c>
      <c r="E77" s="23" t="n">
        <f aca="false">MAX(1,CEILING(D77*Anteil_Technik,1))</f>
        <v>9</v>
      </c>
      <c r="F77" s="37" t="n">
        <f aca="false">IF(Anlagen!Z77&lt;&gt;"",Anlagen!Z77,Leitung_k*SQRT(Anlagen!H77))</f>
        <v>770.746449182868</v>
      </c>
      <c r="G77" s="37" t="n">
        <f aca="false">F77*Faser_f</f>
        <v>1279.43910564356</v>
      </c>
      <c r="H77" s="37" t="n">
        <f aca="false">F77*Kupfer_f</f>
        <v>816.991236133841</v>
      </c>
      <c r="I77" s="23" t="n">
        <f aca="false">ROUND(C77*Kabel_je_AP,0)</f>
        <v>16</v>
      </c>
      <c r="J77" s="38" t="n">
        <f aca="false">E77*(2*P_SFP+P_Flex+P_NT+P_Halter+P_Luefter+P_Spleiss+P_Saeule+P_Ueber)*EK</f>
        <v>8131.032</v>
      </c>
      <c r="K77" s="38" t="n">
        <f aca="false">(C77*P_AP+D77*(P_Mast+P_Fund+P_MontMast)+I77*2*P_Surge)*EK</f>
        <v>24856.72</v>
      </c>
      <c r="L77" s="38" t="n">
        <f aca="false">(G77*P_Faser+H77*P_Kupfer+F77*P_Tiefbau)*EK</f>
        <v>3450.46228877288</v>
      </c>
      <c r="M77" s="38" t="n">
        <f aca="false">Netz!H77+Netz!I77</f>
        <v>0</v>
      </c>
      <c r="N77" s="38" t="n">
        <f aca="false">J77+K77+L77+M77</f>
        <v>36438.2142887729</v>
      </c>
      <c r="O77" s="38" t="n">
        <f aca="false">E77*Strom_Mast*EK+N77*Wartung</f>
        <v>1628.64642866319</v>
      </c>
      <c r="P77" s="23" t="n">
        <f aca="false">CEILING(Anlagen!F77/PG,1)</f>
        <v>3</v>
      </c>
      <c r="Q77" s="38" t="n">
        <f aca="false">J77+K77+L77+(P_KVz+P_USV+P_MontStandort+P77*(P_UCG+P_DAC)+P_Agg*CEILING((P77+E77)/Ports_Agg,1))*EK</f>
        <v>40650.8142887729</v>
      </c>
      <c r="R77" s="38" t="n">
        <f aca="false">(Uplink_Monat*12*MAX(1,CEILING(Buchungsquote!V77*Bandbreite/Ueberbuchung/Uplink_Kap,1))+Strom_Standort+P77*Strom_GW+E77*Strom_Mast)*EK+Q77*Wartung</f>
        <v>3010.47442866319</v>
      </c>
    </row>
    <row r="78" customFormat="false" ht="15" hidden="false" customHeight="false" outlineLevel="0" collapsed="false">
      <c r="A78" s="23" t="n">
        <f aca="false">Anlagen!A78</f>
        <v>74</v>
      </c>
      <c r="B78" s="23" t="str">
        <f aca="false">Anlagen!B78</f>
        <v>Sonnenrot</v>
      </c>
      <c r="C78" s="23" t="n">
        <f aca="false">IF(Anlagen!X78&lt;&gt;"",Anlagen!X78,MAX(2,CEILING(Anlagen!F78/Parz_je_AP,1)))</f>
        <v>8</v>
      </c>
      <c r="D78" s="23" t="n">
        <f aca="false">IF(Anlagen!Y78&lt;&gt;"",Anlagen!Y78,CEILING(C78/AP_je_Mast,1))</f>
        <v>4</v>
      </c>
      <c r="E78" s="23" t="n">
        <f aca="false">MAX(1,CEILING(D78*Anteil_Technik,1))</f>
        <v>2</v>
      </c>
      <c r="F78" s="37" t="n">
        <f aca="false">IF(Anlagen!Z78&lt;&gt;"",Anlagen!Z78,Leitung_k*SQRT(Anlagen!H78))</f>
        <v>312.941343654047</v>
      </c>
      <c r="G78" s="37" t="n">
        <f aca="false">F78*Faser_f</f>
        <v>519.482630465717</v>
      </c>
      <c r="H78" s="37" t="n">
        <f aca="false">F78*Kupfer_f</f>
        <v>331.717824273289</v>
      </c>
      <c r="I78" s="23" t="n">
        <f aca="false">ROUND(C78*Kabel_je_AP,0)</f>
        <v>3</v>
      </c>
      <c r="J78" s="38" t="n">
        <f aca="false">E78*(2*P_SFP+P_Flex+P_NT+P_Halter+P_Luefter+P_Spleiss+P_Saeule+P_Ueber)*EK</f>
        <v>1806.896</v>
      </c>
      <c r="K78" s="38" t="n">
        <f aca="false">(C78*P_AP+D78*(P_Mast+P_Fund+P_MontMast)+I78*2*P_Surge)*EK</f>
        <v>5616.8</v>
      </c>
      <c r="L78" s="38" t="n">
        <f aca="false">(G78*P_Faser+H78*P_Kupfer+F78*P_Tiefbau)*EK</f>
        <v>1400.96954844356</v>
      </c>
      <c r="M78" s="38" t="n">
        <f aca="false">Netz!H78+Netz!I78</f>
        <v>2665.50861469872</v>
      </c>
      <c r="N78" s="38" t="n">
        <f aca="false">J78+K78+L78+M78</f>
        <v>11490.1741631423</v>
      </c>
      <c r="O78" s="38" t="n">
        <f aca="false">E78*Strom_Mast*EK+N78*Wartung</f>
        <v>463.705224894269</v>
      </c>
      <c r="P78" s="23" t="n">
        <f aca="false">CEILING(Anlagen!F78/PG,1)</f>
        <v>1</v>
      </c>
      <c r="Q78" s="38" t="n">
        <f aca="false">J78+K78+L78+(P_KVz+P_USV+P_MontStandort+P78*(P_UCG+P_DAC)+P_Agg*CEILING((P78+E78)/Ports_Agg,1))*EK</f>
        <v>12109.0655484436</v>
      </c>
      <c r="R78" s="38" t="n">
        <f aca="false">(Uplink_Monat*12*MAX(1,CEILING(Buchungsquote!V78*Bandbreite/Ueberbuchung/Uplink_Kap,1))+Strom_Standort+P78*Strom_GW+E78*Strom_Mast)*EK+Q78*Wartung</f>
        <v>1678.22196645331</v>
      </c>
    </row>
    <row r="79" customFormat="false" ht="15" hidden="false" customHeight="false" outlineLevel="0" collapsed="false">
      <c r="A79" s="23" t="n">
        <f aca="false">Anlagen!A79</f>
        <v>75</v>
      </c>
      <c r="B79" s="23" t="str">
        <f aca="false">Anlagen!B79</f>
        <v>Sonnenschein</v>
      </c>
      <c r="C79" s="23" t="n">
        <f aca="false">IF(Anlagen!X79&lt;&gt;"",Anlagen!X79,MAX(2,CEILING(Anlagen!F79/Parz_je_AP,1)))</f>
        <v>12</v>
      </c>
      <c r="D79" s="23" t="n">
        <f aca="false">IF(Anlagen!Y79&lt;&gt;"",Anlagen!Y79,CEILING(C79/AP_je_Mast,1))</f>
        <v>6</v>
      </c>
      <c r="E79" s="23" t="n">
        <f aca="false">MAX(1,CEILING(D79*Anteil_Technik,1))</f>
        <v>3</v>
      </c>
      <c r="F79" s="37" t="n">
        <f aca="false">IF(Anlagen!Z79&lt;&gt;"",Anlagen!Z79,Leitung_k*SQRT(Anlagen!H79))</f>
        <v>392.880083669305</v>
      </c>
      <c r="G79" s="37" t="n">
        <f aca="false">F79*Faser_f</f>
        <v>652.180938891046</v>
      </c>
      <c r="H79" s="37" t="n">
        <f aca="false">F79*Kupfer_f</f>
        <v>416.452888689463</v>
      </c>
      <c r="I79" s="23" t="n">
        <f aca="false">ROUND(C79*Kabel_je_AP,0)</f>
        <v>5</v>
      </c>
      <c r="J79" s="38" t="n">
        <f aca="false">E79*(2*P_SFP+P_Flex+P_NT+P_Halter+P_Luefter+P_Spleiss+P_Saeule+P_Ueber)*EK</f>
        <v>2710.344</v>
      </c>
      <c r="K79" s="38" t="n">
        <f aca="false">(C79*P_AP+D79*(P_Mast+P_Fund+P_MontMast)+I79*2*P_Surge)*EK</f>
        <v>8439.48</v>
      </c>
      <c r="L79" s="38" t="n">
        <f aca="false">(G79*P_Faser+H79*P_Kupfer+F79*P_Tiefbau)*EK</f>
        <v>1758.83770096907</v>
      </c>
      <c r="M79" s="38" t="n">
        <f aca="false">Netz!H79+Netz!I79</f>
        <v>1796.79760077278</v>
      </c>
      <c r="N79" s="38" t="n">
        <f aca="false">J79+K79+L79+M79</f>
        <v>14705.4593017418</v>
      </c>
      <c r="O79" s="38" t="n">
        <f aca="false">E79*Strom_Mast*EK+N79*Wartung</f>
        <v>619.663779052255</v>
      </c>
      <c r="P79" s="23" t="n">
        <f aca="false">CEILING(Anlagen!F79/PG,1)</f>
        <v>1</v>
      </c>
      <c r="Q79" s="38" t="n">
        <f aca="false">J79+K79+L79+(P_KVz+P_USV+P_MontStandort+P79*(P_UCG+P_DAC)+P_Agg*CEILING((P79+E79)/Ports_Agg,1))*EK</f>
        <v>16193.0617009691</v>
      </c>
      <c r="R79" s="38" t="n">
        <f aca="false">(Uplink_Monat*12*MAX(1,CEILING(Buchungsquote!V79*Bandbreite/Ueberbuchung/Uplink_Kap,1))+Strom_Standort+P79*Strom_GW+E79*Strom_Mast)*EK+Q79*Wartung</f>
        <v>1860.24185102907</v>
      </c>
    </row>
    <row r="80" customFormat="false" ht="15" hidden="false" customHeight="false" outlineLevel="0" collapsed="false">
      <c r="A80" s="23" t="n">
        <f aca="false">Anlagen!A80</f>
        <v>76</v>
      </c>
      <c r="B80" s="23" t="str">
        <f aca="false">Anlagen!B80</f>
        <v>Sonnenwinkel</v>
      </c>
      <c r="C80" s="23" t="n">
        <f aca="false">IF(Anlagen!X80&lt;&gt;"",Anlagen!X80,MAX(2,CEILING(Anlagen!F80/Parz_je_AP,1)))</f>
        <v>14</v>
      </c>
      <c r="D80" s="23" t="n">
        <f aca="false">IF(Anlagen!Y80&lt;&gt;"",Anlagen!Y80,CEILING(C80/AP_je_Mast,1))</f>
        <v>7</v>
      </c>
      <c r="E80" s="23" t="n">
        <f aca="false">MAX(1,CEILING(D80*Anteil_Technik,1))</f>
        <v>4</v>
      </c>
      <c r="F80" s="37" t="n">
        <f aca="false">IF(Anlagen!Z80&lt;&gt;"",Anlagen!Z80,Leitung_k*SQRT(Anlagen!H80))</f>
        <v>417.952734523893</v>
      </c>
      <c r="G80" s="37" t="n">
        <f aca="false">F80*Faser_f</f>
        <v>693.801539309663</v>
      </c>
      <c r="H80" s="37" t="n">
        <f aca="false">F80*Kupfer_f</f>
        <v>443.029898595327</v>
      </c>
      <c r="I80" s="23" t="n">
        <f aca="false">ROUND(C80*Kabel_je_AP,0)</f>
        <v>6</v>
      </c>
      <c r="J80" s="38" t="n">
        <f aca="false">E80*(2*P_SFP+P_Flex+P_NT+P_Halter+P_Luefter+P_Spleiss+P_Saeule+P_Ueber)*EK</f>
        <v>3613.792</v>
      </c>
      <c r="K80" s="38" t="n">
        <f aca="false">(C80*P_AP+D80*(P_Mast+P_Fund+P_MontMast)+I80*2*P_Surge)*EK</f>
        <v>9850.82</v>
      </c>
      <c r="L80" s="38" t="n">
        <f aca="false">(G80*P_Faser+H80*P_Kupfer+F80*P_Tiefbau)*EK</f>
        <v>1871.08244286187</v>
      </c>
      <c r="M80" s="38" t="n">
        <f aca="false">Netz!H80+Netz!I80</f>
        <v>1658.34824238805</v>
      </c>
      <c r="N80" s="38" t="n">
        <f aca="false">J80+K80+L80+M80</f>
        <v>16994.0426852499</v>
      </c>
      <c r="O80" s="38" t="n">
        <f aca="false">E80*Strom_Mast*EK+N80*Wartung</f>
        <v>747.821280557498</v>
      </c>
      <c r="P80" s="23" t="n">
        <f aca="false">CEILING(Anlagen!F80/PG,1)</f>
        <v>1</v>
      </c>
      <c r="Q80" s="38" t="n">
        <f aca="false">J80+K80+L80+(P_KVz+P_USV+P_MontStandort+P80*(P_UCG+P_DAC)+P_Agg*CEILING((P80+E80)/Ports_Agg,1))*EK</f>
        <v>18620.0944428619</v>
      </c>
      <c r="R80" s="38" t="n">
        <f aca="false">(Uplink_Monat*12*MAX(1,CEILING(Buchungsquote!V80*Bandbreite/Ueberbuchung/Uplink_Kap,1))+Strom_Standort+P80*Strom_GW+E80*Strom_Mast)*EK+Q80*Wartung</f>
        <v>1992.55283328586</v>
      </c>
    </row>
    <row r="81" customFormat="false" ht="15" hidden="false" customHeight="false" outlineLevel="0" collapsed="false">
      <c r="A81" s="23" t="n">
        <f aca="false">Anlagen!A81</f>
        <v>77</v>
      </c>
      <c r="B81" s="23" t="str">
        <f aca="false">Anlagen!B81</f>
        <v>Sorgenfrei I</v>
      </c>
      <c r="C81" s="23" t="n">
        <f aca="false">IF(Anlagen!X81&lt;&gt;"",Anlagen!X81,MAX(2,CEILING(Anlagen!F81/Parz_je_AP,1)))</f>
        <v>13</v>
      </c>
      <c r="D81" s="23" t="n">
        <f aca="false">IF(Anlagen!Y81&lt;&gt;"",Anlagen!Y81,CEILING(C81/AP_je_Mast,1))</f>
        <v>6</v>
      </c>
      <c r="E81" s="23" t="n">
        <f aca="false">MAX(1,CEILING(D81*Anteil_Technik,1))</f>
        <v>3</v>
      </c>
      <c r="F81" s="37" t="n">
        <f aca="false">IF(Anlagen!Z81&lt;&gt;"",Anlagen!Z81,Leitung_k*SQRT(Anlagen!H81))</f>
        <v>430.956292410263</v>
      </c>
      <c r="G81" s="37" t="n">
        <f aca="false">F81*Faser_f</f>
        <v>715.387445401036</v>
      </c>
      <c r="H81" s="37" t="n">
        <f aca="false">F81*Kupfer_f</f>
        <v>456.813669954879</v>
      </c>
      <c r="I81" s="23" t="n">
        <f aca="false">ROUND(C81*Kabel_je_AP,0)</f>
        <v>5</v>
      </c>
      <c r="J81" s="38" t="n">
        <f aca="false">E81*(2*P_SFP+P_Flex+P_NT+P_Halter+P_Luefter+P_Spleiss+P_Saeule+P_Ueber)*EK</f>
        <v>2710.344</v>
      </c>
      <c r="K81" s="38" t="n">
        <f aca="false">(C81*P_AP+D81*(P_Mast+P_Fund+P_MontMast)+I81*2*P_Surge)*EK</f>
        <v>8736.98</v>
      </c>
      <c r="L81" s="38" t="n">
        <f aca="false">(G81*P_Faser+H81*P_Kupfer+F81*P_Tiefbau)*EK</f>
        <v>1929.29651073642</v>
      </c>
      <c r="M81" s="38" t="n">
        <f aca="false">Netz!H81+Netz!I81</f>
        <v>1861.99504233142</v>
      </c>
      <c r="N81" s="38" t="n">
        <f aca="false">J81+K81+L81+M81</f>
        <v>15238.6155530678</v>
      </c>
      <c r="O81" s="38" t="n">
        <f aca="false">E81*Strom_Mast*EK+N81*Wartung</f>
        <v>635.658466592035</v>
      </c>
      <c r="P81" s="23" t="n">
        <f aca="false">CEILING(Anlagen!F81/PG,1)</f>
        <v>1</v>
      </c>
      <c r="Q81" s="38" t="n">
        <f aca="false">J81+K81+L81+(P_KVz+P_USV+P_MontStandort+P81*(P_UCG+P_DAC)+P_Agg*CEILING((P81+E81)/Ports_Agg,1))*EK</f>
        <v>16661.0205107364</v>
      </c>
      <c r="R81" s="38" t="n">
        <f aca="false">(Uplink_Monat*12*MAX(1,CEILING(Buchungsquote!V81*Bandbreite/Ueberbuchung/Uplink_Kap,1))+Strom_Standort+P81*Strom_GW+E81*Strom_Mast)*EK+Q81*Wartung</f>
        <v>1874.28061532209</v>
      </c>
    </row>
    <row r="82" customFormat="false" ht="15" hidden="false" customHeight="false" outlineLevel="0" collapsed="false">
      <c r="A82" s="23" t="n">
        <f aca="false">Anlagen!A82</f>
        <v>78</v>
      </c>
      <c r="B82" s="23" t="str">
        <f aca="false">Anlagen!B82</f>
        <v>Sorgenfrei II</v>
      </c>
      <c r="C82" s="23" t="n">
        <f aca="false">IF(Anlagen!X82&lt;&gt;"",Anlagen!X82,MAX(2,CEILING(Anlagen!F82/Parz_je_AP,1)))</f>
        <v>7</v>
      </c>
      <c r="D82" s="23" t="n">
        <f aca="false">IF(Anlagen!Y82&lt;&gt;"",Anlagen!Y82,CEILING(C82/AP_je_Mast,1))</f>
        <v>4</v>
      </c>
      <c r="E82" s="23" t="n">
        <f aca="false">MAX(1,CEILING(D82*Anteil_Technik,1))</f>
        <v>2</v>
      </c>
      <c r="F82" s="37" t="n">
        <f aca="false">IF(Anlagen!Z82&lt;&gt;"",Anlagen!Z82,Leitung_k*SQRT(Anlagen!H82))</f>
        <v>363.298445176965</v>
      </c>
      <c r="G82" s="37" t="n">
        <f aca="false">F82*Faser_f</f>
        <v>603.075418993761</v>
      </c>
      <c r="H82" s="37" t="n">
        <f aca="false">F82*Kupfer_f</f>
        <v>385.096351887583</v>
      </c>
      <c r="I82" s="23" t="n">
        <f aca="false">ROUND(C82*Kabel_je_AP,0)</f>
        <v>3</v>
      </c>
      <c r="J82" s="38" t="n">
        <f aca="false">E82*(2*P_SFP+P_Flex+P_NT+P_Halter+P_Luefter+P_Spleiss+P_Saeule+P_Ueber)*EK</f>
        <v>1806.896</v>
      </c>
      <c r="K82" s="38" t="n">
        <f aca="false">(C82*P_AP+D82*(P_Mast+P_Fund+P_MontMast)+I82*2*P_Surge)*EK</f>
        <v>5319.3</v>
      </c>
      <c r="L82" s="38" t="n">
        <f aca="false">(G82*P_Faser+H82*P_Kupfer+F82*P_Tiefbau)*EK</f>
        <v>1626.40721339933</v>
      </c>
      <c r="M82" s="38" t="n">
        <f aca="false">Netz!H82+Netz!I82</f>
        <v>1824.87048964815</v>
      </c>
      <c r="N82" s="38" t="n">
        <f aca="false">J82+K82+L82+M82</f>
        <v>10577.4737030475</v>
      </c>
      <c r="O82" s="38" t="n">
        <f aca="false">E82*Strom_Mast*EK+N82*Wartung</f>
        <v>436.324211091424</v>
      </c>
      <c r="P82" s="23" t="n">
        <f aca="false">CEILING(Anlagen!F82/PG,1)</f>
        <v>1</v>
      </c>
      <c r="Q82" s="38" t="n">
        <f aca="false">J82+K82+L82+(P_KVz+P_USV+P_MontStandort+P82*(P_UCG+P_DAC)+P_Agg*CEILING((P82+E82)/Ports_Agg,1))*EK</f>
        <v>12037.0032133993</v>
      </c>
      <c r="R82" s="38" t="n">
        <f aca="false">(Uplink_Monat*12*MAX(1,CEILING(Buchungsquote!V82*Bandbreite/Ueberbuchung/Uplink_Kap,1))+Strom_Standort+P82*Strom_GW+E82*Strom_Mast)*EK+Q82*Wartung</f>
        <v>1676.06009640198</v>
      </c>
    </row>
    <row r="83" customFormat="false" ht="15" hidden="false" customHeight="false" outlineLevel="0" collapsed="false">
      <c r="A83" s="23" t="n">
        <f aca="false">Anlagen!A83</f>
        <v>79</v>
      </c>
      <c r="B83" s="23" t="str">
        <f aca="false">Anlagen!B83</f>
        <v>Sportpark</v>
      </c>
      <c r="C83" s="23" t="n">
        <f aca="false">IF(Anlagen!X83&lt;&gt;"",Anlagen!X83,MAX(2,CEILING(Anlagen!F83/Parz_je_AP,1)))</f>
        <v>11</v>
      </c>
      <c r="D83" s="23" t="n">
        <f aca="false">IF(Anlagen!Y83&lt;&gt;"",Anlagen!Y83,CEILING(C83/AP_je_Mast,1))</f>
        <v>5</v>
      </c>
      <c r="E83" s="23" t="n">
        <f aca="false">MAX(1,CEILING(D83*Anteil_Technik,1))</f>
        <v>3</v>
      </c>
      <c r="F83" s="37" t="n">
        <f aca="false">IF(Anlagen!Z83&lt;&gt;"",Anlagen!Z83,Leitung_k*SQRT(Anlagen!H83))</f>
        <v>390.054186527975</v>
      </c>
      <c r="G83" s="37" t="n">
        <f aca="false">F83*Faser_f</f>
        <v>647.489949636438</v>
      </c>
      <c r="H83" s="37" t="n">
        <f aca="false">F83*Kupfer_f</f>
        <v>413.457437719653</v>
      </c>
      <c r="I83" s="23" t="n">
        <f aca="false">ROUND(C83*Kabel_je_AP,0)</f>
        <v>5</v>
      </c>
      <c r="J83" s="38" t="n">
        <f aca="false">E83*(2*P_SFP+P_Flex+P_NT+P_Halter+P_Luefter+P_Spleiss+P_Saeule+P_Ueber)*EK</f>
        <v>2710.344</v>
      </c>
      <c r="K83" s="38" t="n">
        <f aca="false">(C83*P_AP+D83*(P_Mast+P_Fund+P_MontMast)+I83*2*P_Surge)*EK</f>
        <v>7354.2</v>
      </c>
      <c r="L83" s="38" t="n">
        <f aca="false">(G83*P_Faser+H83*P_Kupfer+F83*P_Tiefbau)*EK</f>
        <v>1746.18678116471</v>
      </c>
      <c r="M83" s="38" t="n">
        <f aca="false">Netz!H83+Netz!I83</f>
        <v>2383.49822594213</v>
      </c>
      <c r="N83" s="38" t="n">
        <f aca="false">J83+K83+L83+M83</f>
        <v>14194.2290071068</v>
      </c>
      <c r="O83" s="38" t="n">
        <f aca="false">E83*Strom_Mast*EK+N83*Wartung</f>
        <v>604.326870213205</v>
      </c>
      <c r="P83" s="23" t="n">
        <f aca="false">CEILING(Anlagen!F83/PG,1)</f>
        <v>1</v>
      </c>
      <c r="Q83" s="38" t="n">
        <f aca="false">J83+K83+L83+(P_KVz+P_USV+P_MontStandort+P83*(P_UCG+P_DAC)+P_Agg*CEILING((P83+E83)/Ports_Agg,1))*EK</f>
        <v>15095.1307811647</v>
      </c>
      <c r="R83" s="38" t="n">
        <f aca="false">(Uplink_Monat*12*MAX(1,CEILING(Buchungsquote!V83*Bandbreite/Ueberbuchung/Uplink_Kap,1))+Strom_Standort+P83*Strom_GW+E83*Strom_Mast)*EK+Q83*Wartung</f>
        <v>1827.30392343494</v>
      </c>
    </row>
    <row r="84" customFormat="false" ht="15" hidden="false" customHeight="false" outlineLevel="0" collapsed="false">
      <c r="A84" s="23" t="n">
        <f aca="false">Anlagen!A84</f>
        <v>80</v>
      </c>
      <c r="B84" s="23" t="str">
        <f aca="false">Anlagen!B84</f>
        <v>Stiller Winkel</v>
      </c>
      <c r="C84" s="23" t="n">
        <f aca="false">IF(Anlagen!X84&lt;&gt;"",Anlagen!X84,MAX(2,CEILING(Anlagen!F84/Parz_je_AP,1)))</f>
        <v>14</v>
      </c>
      <c r="D84" s="23" t="n">
        <f aca="false">IF(Anlagen!Y84&lt;&gt;"",Anlagen!Y84,CEILING(C84/AP_je_Mast,1))</f>
        <v>7</v>
      </c>
      <c r="E84" s="23" t="n">
        <f aca="false">MAX(1,CEILING(D84*Anteil_Technik,1))</f>
        <v>4</v>
      </c>
      <c r="F84" s="37" t="n">
        <f aca="false">IF(Anlagen!Z84&lt;&gt;"",Anlagen!Z84,Leitung_k*SQRT(Anlagen!H84))</f>
        <v>466.463214905527</v>
      </c>
      <c r="G84" s="37" t="n">
        <f aca="false">F84*Faser_f</f>
        <v>774.328936743175</v>
      </c>
      <c r="H84" s="37" t="n">
        <f aca="false">F84*Kupfer_f</f>
        <v>494.451007799859</v>
      </c>
      <c r="I84" s="23" t="n">
        <f aca="false">ROUND(C84*Kabel_je_AP,0)</f>
        <v>6</v>
      </c>
      <c r="J84" s="38" t="n">
        <f aca="false">E84*(2*P_SFP+P_Flex+P_NT+P_Halter+P_Luefter+P_Spleiss+P_Saeule+P_Ueber)*EK</f>
        <v>3613.792</v>
      </c>
      <c r="K84" s="38" t="n">
        <f aca="false">(C84*P_AP+D84*(P_Mast+P_Fund+P_MontMast)+I84*2*P_Surge)*EK</f>
        <v>9850.82</v>
      </c>
      <c r="L84" s="38" t="n">
        <f aca="false">(G84*P_Faser+H84*P_Kupfer+F84*P_Tiefbau)*EK</f>
        <v>2088.25319122477</v>
      </c>
      <c r="M84" s="38" t="n">
        <f aca="false">Netz!H84+Netz!I84</f>
        <v>1656.00799625475</v>
      </c>
      <c r="N84" s="38" t="n">
        <f aca="false">J84+K84+L84+M84</f>
        <v>17208.8731874795</v>
      </c>
      <c r="O84" s="38" t="n">
        <f aca="false">E84*Strom_Mast*EK+N84*Wartung</f>
        <v>754.266195624385</v>
      </c>
      <c r="P84" s="23" t="n">
        <f aca="false">CEILING(Anlagen!F84/PG,1)</f>
        <v>1</v>
      </c>
      <c r="Q84" s="38" t="n">
        <f aca="false">J84+K84+L84+(P_KVz+P_USV+P_MontStandort+P84*(P_UCG+P_DAC)+P_Agg*CEILING((P84+E84)/Ports_Agg,1))*EK</f>
        <v>18837.2651912248</v>
      </c>
      <c r="R84" s="38" t="n">
        <f aca="false">(Uplink_Monat*12*MAX(1,CEILING(Buchungsquote!V84*Bandbreite/Ueberbuchung/Uplink_Kap,1))+Strom_Standort+P84*Strom_GW+E84*Strom_Mast)*EK+Q84*Wartung</f>
        <v>1999.06795573674</v>
      </c>
    </row>
    <row r="85" customFormat="false" ht="15" hidden="false" customHeight="false" outlineLevel="0" collapsed="false">
      <c r="A85" s="23" t="n">
        <f aca="false">Anlagen!A85</f>
        <v>81</v>
      </c>
      <c r="B85" s="23" t="str">
        <f aca="false">Anlagen!B85</f>
        <v>Traumland</v>
      </c>
      <c r="C85" s="23" t="n">
        <f aca="false">IF(Anlagen!X85&lt;&gt;"",Anlagen!X85,MAX(2,CEILING(Anlagen!F85/Parz_je_AP,1)))</f>
        <v>14</v>
      </c>
      <c r="D85" s="23" t="n">
        <f aca="false">IF(Anlagen!Y85&lt;&gt;"",Anlagen!Y85,CEILING(C85/AP_je_Mast,1))</f>
        <v>7</v>
      </c>
      <c r="E85" s="23" t="n">
        <f aca="false">MAX(1,CEILING(D85*Anteil_Technik,1))</f>
        <v>4</v>
      </c>
      <c r="F85" s="37" t="n">
        <f aca="false">IF(Anlagen!Z85&lt;&gt;"",Anlagen!Z85,Leitung_k*SQRT(Anlagen!H85))</f>
        <v>413.958710385468</v>
      </c>
      <c r="G85" s="37" t="n">
        <f aca="false">F85*Faser_f</f>
        <v>687.171459239877</v>
      </c>
      <c r="H85" s="37" t="n">
        <f aca="false">F85*Kupfer_f</f>
        <v>438.796233008596</v>
      </c>
      <c r="I85" s="23" t="n">
        <f aca="false">ROUND(C85*Kabel_je_AP,0)</f>
        <v>6</v>
      </c>
      <c r="J85" s="38" t="n">
        <f aca="false">E85*(2*P_SFP+P_Flex+P_NT+P_Halter+P_Luefter+P_Spleiss+P_Saeule+P_Ueber)*EK</f>
        <v>3613.792</v>
      </c>
      <c r="K85" s="38" t="n">
        <f aca="false">(C85*P_AP+D85*(P_Mast+P_Fund+P_MontMast)+I85*2*P_Surge)*EK</f>
        <v>9850.82</v>
      </c>
      <c r="L85" s="38" t="n">
        <f aca="false">(G85*P_Faser+H85*P_Kupfer+F85*P_Tiefbau)*EK</f>
        <v>1853.20207547946</v>
      </c>
      <c r="M85" s="38" t="n">
        <f aca="false">Netz!H85+Netz!I85</f>
        <v>0</v>
      </c>
      <c r="N85" s="38" t="n">
        <f aca="false">J85+K85+L85+M85</f>
        <v>15317.8140754795</v>
      </c>
      <c r="O85" s="38" t="n">
        <f aca="false">E85*Strom_Mast*EK+N85*Wartung</f>
        <v>697.534422264384</v>
      </c>
      <c r="P85" s="23" t="n">
        <f aca="false">CEILING(Anlagen!F85/PG,1)</f>
        <v>1</v>
      </c>
      <c r="Q85" s="38" t="n">
        <f aca="false">J85+K85+L85+(P_KVz+P_USV+P_MontStandort+P85*(P_UCG+P_DAC)+P_Agg*CEILING((P85+E85)/Ports_Agg,1))*EK</f>
        <v>18602.2140754795</v>
      </c>
      <c r="R85" s="38" t="n">
        <f aca="false">(Uplink_Monat*12*MAX(1,CEILING(Buchungsquote!V85*Bandbreite/Ueberbuchung/Uplink_Kap,1))+Strom_Standort+P85*Strom_GW+E85*Strom_Mast)*EK+Q85*Wartung</f>
        <v>1992.01642226438</v>
      </c>
    </row>
    <row r="86" customFormat="false" ht="15" hidden="false" customHeight="false" outlineLevel="0" collapsed="false">
      <c r="A86" s="23" t="n">
        <f aca="false">Anlagen!A86</f>
        <v>82</v>
      </c>
      <c r="B86" s="23" t="str">
        <f aca="false">Anlagen!B86</f>
        <v>Waldfrieden</v>
      </c>
      <c r="C86" s="23" t="n">
        <f aca="false">IF(Anlagen!X86&lt;&gt;"",Anlagen!X86,MAX(2,CEILING(Anlagen!F86/Parz_je_AP,1)))</f>
        <v>25</v>
      </c>
      <c r="D86" s="23" t="n">
        <f aca="false">IF(Anlagen!Y86&lt;&gt;"",Anlagen!Y86,CEILING(C86/AP_je_Mast,1))</f>
        <v>12</v>
      </c>
      <c r="E86" s="23" t="n">
        <f aca="false">MAX(1,CEILING(D86*Anteil_Technik,1))</f>
        <v>6</v>
      </c>
      <c r="F86" s="37" t="n">
        <f aca="false">IF(Anlagen!Z86&lt;&gt;"",Anlagen!Z86,Leitung_k*SQRT(Anlagen!H86))</f>
        <v>634.974922566238</v>
      </c>
      <c r="G86" s="37" t="n">
        <f aca="false">F86*Faser_f</f>
        <v>1054.05837145996</v>
      </c>
      <c r="H86" s="37" t="n">
        <f aca="false">F86*Kupfer_f</f>
        <v>673.073417920212</v>
      </c>
      <c r="I86" s="23" t="n">
        <f aca="false">ROUND(C86*Kabel_je_AP,0)</f>
        <v>11</v>
      </c>
      <c r="J86" s="38" t="n">
        <f aca="false">E86*(2*P_SFP+P_Flex+P_NT+P_Halter+P_Luefter+P_Spleiss+P_Saeule+P_Ueber)*EK</f>
        <v>5420.688</v>
      </c>
      <c r="K86" s="38" t="n">
        <f aca="false">(C86*P_AP+D86*(P_Mast+P_Fund+P_MontMast)+I86*2*P_Surge)*EK</f>
        <v>17205.02</v>
      </c>
      <c r="L86" s="38" t="n">
        <f aca="false">(G86*P_Faser+H86*P_Kupfer+F86*P_Tiefbau)*EK</f>
        <v>2842.64303384608</v>
      </c>
      <c r="M86" s="38" t="n">
        <f aca="false">Netz!H86+Netz!I86</f>
        <v>2929.3341790243</v>
      </c>
      <c r="N86" s="38" t="n">
        <f aca="false">J86+K86+L86+M86</f>
        <v>28397.6852128704</v>
      </c>
      <c r="O86" s="38" t="n">
        <f aca="false">E86*Strom_Mast*EK+N86*Wartung</f>
        <v>1208.93055638611</v>
      </c>
      <c r="P86" s="23" t="n">
        <f aca="false">CEILING(Anlagen!F86/PG,1)</f>
        <v>2</v>
      </c>
      <c r="Q86" s="38" t="n">
        <f aca="false">J86+K86+L86+(P_KVz+P_USV+P_MontStandort+P86*(P_UCG+P_DAC)+P_Agg*CEILING((P86+E86)/Ports_Agg,1))*EK</f>
        <v>29074.0510338461</v>
      </c>
      <c r="R86" s="38" t="n">
        <f aca="false">(Uplink_Monat*12*MAX(1,CEILING(Buchungsquote!V86*Bandbreite/Ueberbuchung/Uplink_Kap,1))+Strom_Standort+P86*Strom_GW+E86*Strom_Mast)*EK+Q86*Wartung</f>
        <v>2454.92153101538</v>
      </c>
    </row>
    <row r="87" customFormat="false" ht="15" hidden="false" customHeight="false" outlineLevel="0" collapsed="false">
      <c r="A87" s="23" t="n">
        <f aca="false">Anlagen!A87</f>
        <v>83</v>
      </c>
      <c r="B87" s="23" t="str">
        <f aca="false">Anlagen!B87</f>
        <v>Weinmeisterweg</v>
      </c>
      <c r="C87" s="23" t="n">
        <f aca="false">IF(Anlagen!X87&lt;&gt;"",Anlagen!X87,MAX(2,CEILING(Anlagen!F87/Parz_je_AP,1)))</f>
        <v>8</v>
      </c>
      <c r="D87" s="23" t="n">
        <f aca="false">IF(Anlagen!Y87&lt;&gt;"",Anlagen!Y87,CEILING(C87/AP_je_Mast,1))</f>
        <v>4</v>
      </c>
      <c r="E87" s="23" t="n">
        <f aca="false">MAX(1,CEILING(D87*Anteil_Technik,1))</f>
        <v>2</v>
      </c>
      <c r="F87" s="37" t="n">
        <f aca="false">IF(Anlagen!Z87&lt;&gt;"",Anlagen!Z87,Leitung_k*SQRT(Anlagen!H87))</f>
        <v>264.747252435224</v>
      </c>
      <c r="G87" s="37" t="n">
        <f aca="false">F87*Faser_f</f>
        <v>439.480439042471</v>
      </c>
      <c r="H87" s="37" t="n">
        <f aca="false">F87*Kupfer_f</f>
        <v>280.632087581337</v>
      </c>
      <c r="I87" s="23" t="n">
        <f aca="false">ROUND(C87*Kabel_je_AP,0)</f>
        <v>3</v>
      </c>
      <c r="J87" s="38" t="n">
        <f aca="false">E87*(2*P_SFP+P_Flex+P_NT+P_Halter+P_Luefter+P_Spleiss+P_Saeule+P_Ueber)*EK</f>
        <v>1806.896</v>
      </c>
      <c r="K87" s="38" t="n">
        <f aca="false">(C87*P_AP+D87*(P_Mast+P_Fund+P_MontMast)+I87*2*P_Surge)*EK</f>
        <v>5616.8</v>
      </c>
      <c r="L87" s="38" t="n">
        <f aca="false">(G87*P_Faser+H87*P_Kupfer+F87*P_Tiefbau)*EK</f>
        <v>1185.21520475696</v>
      </c>
      <c r="M87" s="38" t="n">
        <f aca="false">Netz!H87+Netz!I87</f>
        <v>3984.89257254182</v>
      </c>
      <c r="N87" s="38" t="n">
        <f aca="false">J87+K87+L87+M87</f>
        <v>12593.8037772988</v>
      </c>
      <c r="O87" s="38" t="n">
        <f aca="false">E87*Strom_Mast*EK+N87*Wartung</f>
        <v>496.814113318963</v>
      </c>
      <c r="P87" s="23" t="n">
        <f aca="false">CEILING(Anlagen!F87/PG,1)</f>
        <v>1</v>
      </c>
      <c r="Q87" s="38" t="n">
        <f aca="false">J87+K87+L87+(P_KVz+P_USV+P_MontStandort+P87*(P_UCG+P_DAC)+P_Agg*CEILING((P87+E87)/Ports_Agg,1))*EK</f>
        <v>11893.311204757</v>
      </c>
      <c r="R87" s="38" t="n">
        <f aca="false">(Uplink_Monat*12*MAX(1,CEILING(Buchungsquote!V87*Bandbreite/Ueberbuchung/Uplink_Kap,1))+Strom_Standort+P87*Strom_GW+E87*Strom_Mast)*EK+Q87*Wartung</f>
        <v>1671.74933614271</v>
      </c>
    </row>
    <row r="88" customFormat="false" ht="15" hidden="false" customHeight="false" outlineLevel="0" collapsed="false">
      <c r="A88" s="23" t="n">
        <f aca="false">Anlagen!A88</f>
        <v>84</v>
      </c>
      <c r="B88" s="23" t="str">
        <f aca="false">Anlagen!B88</f>
        <v>Wittstocker Gäßchen</v>
      </c>
      <c r="C88" s="23" t="n">
        <f aca="false">IF(Anlagen!X88&lt;&gt;"",Anlagen!X88,MAX(2,CEILING(Anlagen!F88/Parz_je_AP,1)))</f>
        <v>15</v>
      </c>
      <c r="D88" s="23" t="n">
        <f aca="false">IF(Anlagen!Y88&lt;&gt;"",Anlagen!Y88,CEILING(C88/AP_je_Mast,1))</f>
        <v>7</v>
      </c>
      <c r="E88" s="23" t="n">
        <f aca="false">MAX(1,CEILING(D88*Anteil_Technik,1))</f>
        <v>4</v>
      </c>
      <c r="F88" s="37" t="n">
        <f aca="false">IF(Anlagen!Z88&lt;&gt;"",Anlagen!Z88,Leitung_k*SQRT(Anlagen!H88))</f>
        <v>533.39838475571</v>
      </c>
      <c r="G88" s="37" t="n">
        <f aca="false">F88*Faser_f</f>
        <v>885.441318694478</v>
      </c>
      <c r="H88" s="37" t="n">
        <f aca="false">F88*Kupfer_f</f>
        <v>565.402287841052</v>
      </c>
      <c r="I88" s="23" t="n">
        <f aca="false">ROUND(C88*Kabel_je_AP,0)</f>
        <v>6</v>
      </c>
      <c r="J88" s="38" t="n">
        <f aca="false">E88*(2*P_SFP+P_Flex+P_NT+P_Halter+P_Luefter+P_Spleiss+P_Saeule+P_Ueber)*EK</f>
        <v>3613.792</v>
      </c>
      <c r="K88" s="38" t="n">
        <f aca="false">(C88*P_AP+D88*(P_Mast+P_Fund+P_MontMast)+I88*2*P_Surge)*EK</f>
        <v>10148.32</v>
      </c>
      <c r="L88" s="38" t="n">
        <f aca="false">(G88*P_Faser+H88*P_Kupfer+F88*P_Tiefbau)*EK</f>
        <v>2387.90722090667</v>
      </c>
      <c r="M88" s="38" t="n">
        <f aca="false">Netz!H88+Netz!I88</f>
        <v>2453.20447174407</v>
      </c>
      <c r="N88" s="38" t="n">
        <f aca="false">J88+K88+L88+M88</f>
        <v>18603.2236926507</v>
      </c>
      <c r="O88" s="38" t="n">
        <f aca="false">E88*Strom_Mast*EK+N88*Wartung</f>
        <v>796.096710779522</v>
      </c>
      <c r="P88" s="23" t="n">
        <f aca="false">CEILING(Anlagen!F88/PG,1)</f>
        <v>1</v>
      </c>
      <c r="Q88" s="38" t="n">
        <f aca="false">J88+K88+L88+(P_KVz+P_USV+P_MontStandort+P88*(P_UCG+P_DAC)+P_Agg*CEILING((P88+E88)/Ports_Agg,1))*EK</f>
        <v>19434.4192209067</v>
      </c>
      <c r="R88" s="38" t="n">
        <f aca="false">(Uplink_Monat*12*MAX(1,CEILING(Buchungsquote!V88*Bandbreite/Ueberbuchung/Uplink_Kap,1))+Strom_Standort+P88*Strom_GW+E88*Strom_Mast)*EK+Q88*Wartung</f>
        <v>2016.9825766272</v>
      </c>
    </row>
    <row r="89" customFormat="false" ht="15" hidden="false" customHeight="false" outlineLevel="0" collapsed="false">
      <c r="A89" s="23" t="n">
        <f aca="false">Anlagen!A89</f>
        <v>85</v>
      </c>
      <c r="B89" s="23" t="str">
        <f aca="false">Anlagen!B89</f>
        <v>Zukunft</v>
      </c>
      <c r="C89" s="23" t="n">
        <f aca="false">IF(Anlagen!X89&lt;&gt;"",Anlagen!X89,MAX(2,CEILING(Anlagen!F89/Parz_je_AP,1)))</f>
        <v>24</v>
      </c>
      <c r="D89" s="23" t="n">
        <f aca="false">IF(Anlagen!Y89&lt;&gt;"",Anlagen!Y89,CEILING(C89/AP_je_Mast,1))</f>
        <v>11</v>
      </c>
      <c r="E89" s="23" t="n">
        <f aca="false">MAX(1,CEILING(D89*Anteil_Technik,1))</f>
        <v>6</v>
      </c>
      <c r="F89" s="37" t="n">
        <f aca="false">IF(Anlagen!Z89&lt;&gt;"",Anlagen!Z89,Leitung_k*SQRT(Anlagen!H89))</f>
        <v>611.701564186328</v>
      </c>
      <c r="G89" s="37" t="n">
        <f aca="false">F89*Faser_f</f>
        <v>1015.4245965493</v>
      </c>
      <c r="H89" s="37" t="n">
        <f aca="false">F89*Kupfer_f</f>
        <v>648.403658037507</v>
      </c>
      <c r="I89" s="23" t="n">
        <f aca="false">ROUND(C89*Kabel_je_AP,0)</f>
        <v>10</v>
      </c>
      <c r="J89" s="38" t="n">
        <f aca="false">E89*(2*P_SFP+P_Flex+P_NT+P_Halter+P_Luefter+P_Spleiss+P_Saeule+P_Ueber)*EK</f>
        <v>5420.688</v>
      </c>
      <c r="K89" s="38" t="n">
        <f aca="false">(C89*P_AP+D89*(P_Mast+P_Fund+P_MontMast)+I89*2*P_Surge)*EK</f>
        <v>16091.18</v>
      </c>
      <c r="L89" s="38" t="n">
        <f aca="false">(G89*P_Faser+H89*P_Kupfer+F89*P_Tiefbau)*EK</f>
        <v>2738.45332851807</v>
      </c>
      <c r="M89" s="38" t="n">
        <f aca="false">Netz!H89+Netz!I89</f>
        <v>0</v>
      </c>
      <c r="N89" s="38" t="n">
        <f aca="false">J89+K89+L89+M89</f>
        <v>24250.3213285181</v>
      </c>
      <c r="O89" s="38" t="n">
        <f aca="false">E89*Strom_Mast*EK+N89*Wartung</f>
        <v>1084.50963985554</v>
      </c>
      <c r="P89" s="23" t="n">
        <f aca="false">CEILING(Anlagen!F89/PG,1)</f>
        <v>2</v>
      </c>
      <c r="Q89" s="38" t="n">
        <f aca="false">J89+K89+L89+(P_KVz+P_USV+P_MontStandort+P89*(P_UCG+P_DAC)+P_Agg*CEILING((P89+E89)/Ports_Agg,1))*EK</f>
        <v>27856.0213285181</v>
      </c>
      <c r="R89" s="38" t="n">
        <f aca="false">(Uplink_Monat*12*MAX(1,CEILING(Buchungsquote!V89*Bandbreite/Ueberbuchung/Uplink_Kap,1))+Strom_Standort+P89*Strom_GW+E89*Strom_Mast)*EK+Q89*Wartung</f>
        <v>2418.38063985554</v>
      </c>
    </row>
    <row r="90" customFormat="false" ht="15" hidden="false" customHeight="false" outlineLevel="0" collapsed="false">
      <c r="A90" s="23" t="n">
        <f aca="false">Anlagen!A90</f>
        <v>86</v>
      </c>
      <c r="B90" s="23" t="str">
        <f aca="false">Anlagen!B90</f>
        <v>Zum Burgweg</v>
      </c>
      <c r="C90" s="23" t="n">
        <f aca="false">IF(Anlagen!X90&lt;&gt;"",Anlagen!X90,MAX(2,CEILING(Anlagen!F90/Parz_je_AP,1)))</f>
        <v>3</v>
      </c>
      <c r="D90" s="23" t="n">
        <f aca="false">IF(Anlagen!Y90&lt;&gt;"",Anlagen!Y90,CEILING(C90/AP_je_Mast,1))</f>
        <v>2</v>
      </c>
      <c r="E90" s="23" t="n">
        <f aca="false">MAX(1,CEILING(D90*Anteil_Technik,1))</f>
        <v>1</v>
      </c>
      <c r="F90" s="37" t="n">
        <f aca="false">IF(Anlagen!Z90&lt;&gt;"",Anlagen!Z90,Leitung_k*SQRT(Anlagen!H90))</f>
        <v>202.654596237046</v>
      </c>
      <c r="G90" s="37" t="n">
        <f aca="false">F90*Faser_f</f>
        <v>336.406629753496</v>
      </c>
      <c r="H90" s="37" t="n">
        <f aca="false">F90*Kupfer_f</f>
        <v>214.813872011268</v>
      </c>
      <c r="I90" s="23" t="n">
        <f aca="false">ROUND(C90*Kabel_je_AP,0)</f>
        <v>1</v>
      </c>
      <c r="J90" s="38" t="n">
        <f aca="false">E90*(2*P_SFP+P_Flex+P_NT+P_Halter+P_Luefter+P_Spleiss+P_Saeule+P_Ueber)*EK</f>
        <v>903.448</v>
      </c>
      <c r="K90" s="38" t="n">
        <f aca="false">(C90*P_AP+D90*(P_Mast+P_Fund+P_MontMast)+I90*2*P_Surge)*EK</f>
        <v>2496.62</v>
      </c>
      <c r="L90" s="38" t="n">
        <f aca="false">(G90*P_Faser+H90*P_Kupfer+F90*P_Tiefbau)*EK</f>
        <v>907.240043342081</v>
      </c>
      <c r="M90" s="38" t="n">
        <f aca="false">Netz!H90+Netz!I90</f>
        <v>1477.11491062132</v>
      </c>
      <c r="N90" s="38" t="n">
        <f aca="false">J90+K90+L90+M90</f>
        <v>5784.4229539634</v>
      </c>
      <c r="O90" s="38" t="n">
        <f aca="false">E90*Strom_Mast*EK+N90*Wartung</f>
        <v>233.032688618902</v>
      </c>
      <c r="P90" s="23" t="n">
        <f aca="false">CEILING(Anlagen!F90/PG,1)</f>
        <v>1</v>
      </c>
      <c r="Q90" s="38" t="n">
        <f aca="false">J90+K90+L90+(P_KVz+P_USV+P_MontStandort+P90*(P_UCG+P_DAC)+P_Agg*CEILING((P90+E90)/Ports_Agg,1))*EK</f>
        <v>7591.70804334208</v>
      </c>
      <c r="R90" s="38" t="n">
        <f aca="false">(Uplink_Monat*12*MAX(1,CEILING(Buchungsquote!V90*Bandbreite/Ueberbuchung/Uplink_Kap,1))+Strom_Standort+P90*Strom_GW+E90*Strom_Mast)*EK+Q90*Wartung</f>
        <v>1483.20124130026</v>
      </c>
    </row>
    <row r="91" customFormat="false" ht="15" hidden="false" customHeight="false" outlineLevel="0" collapsed="false">
      <c r="A91" s="23" t="n">
        <f aca="false">Anlagen!A91</f>
        <v>87</v>
      </c>
      <c r="B91" s="23" t="str">
        <f aca="false">Anlagen!B91</f>
        <v>Zum kühlen Grunde</v>
      </c>
      <c r="C91" s="23" t="n">
        <f aca="false">IF(Anlagen!X91&lt;&gt;"",Anlagen!X91,MAX(2,CEILING(Anlagen!F91/Parz_je_AP,1)))</f>
        <v>8</v>
      </c>
      <c r="D91" s="23" t="n">
        <f aca="false">IF(Anlagen!Y91&lt;&gt;"",Anlagen!Y91,CEILING(C91/AP_je_Mast,1))</f>
        <v>4</v>
      </c>
      <c r="E91" s="23" t="n">
        <f aca="false">MAX(1,CEILING(D91*Anteil_Technik,1))</f>
        <v>2</v>
      </c>
      <c r="F91" s="37" t="n">
        <f aca="false">IF(Anlagen!Z91&lt;&gt;"",Anlagen!Z91,Leitung_k*SQRT(Anlagen!H91))</f>
        <v>336.591367096662</v>
      </c>
      <c r="G91" s="37" t="n">
        <f aca="false">F91*Faser_f</f>
        <v>558.741669380459</v>
      </c>
      <c r="H91" s="37" t="n">
        <f aca="false">F91*Kupfer_f</f>
        <v>356.786849122462</v>
      </c>
      <c r="I91" s="23" t="n">
        <f aca="false">ROUND(C91*Kabel_je_AP,0)</f>
        <v>3</v>
      </c>
      <c r="J91" s="38" t="n">
        <f aca="false">E91*(2*P_SFP+P_Flex+P_NT+P_Halter+P_Luefter+P_Spleiss+P_Saeule+P_Ueber)*EK</f>
        <v>1806.896</v>
      </c>
      <c r="K91" s="38" t="n">
        <f aca="false">(C91*P_AP+D91*(P_Mast+P_Fund+P_MontMast)+I91*2*P_Surge)*EK</f>
        <v>5616.8</v>
      </c>
      <c r="L91" s="38" t="n">
        <f aca="false">(G91*P_Faser+H91*P_Kupfer+F91*P_Tiefbau)*EK</f>
        <v>1506.845500391</v>
      </c>
      <c r="M91" s="38" t="n">
        <f aca="false">Netz!H91+Netz!I91</f>
        <v>2283.68922466112</v>
      </c>
      <c r="N91" s="38" t="n">
        <f aca="false">J91+K91+L91+M91</f>
        <v>11214.2307250521</v>
      </c>
      <c r="O91" s="38" t="n">
        <f aca="false">E91*Strom_Mast*EK+N91*Wartung</f>
        <v>455.426921751563</v>
      </c>
      <c r="P91" s="23" t="n">
        <f aca="false">CEILING(Anlagen!F91/PG,1)</f>
        <v>1</v>
      </c>
      <c r="Q91" s="38" t="n">
        <f aca="false">J91+K91+L91+(P_KVz+P_USV+P_MontStandort+P91*(P_UCG+P_DAC)+P_Agg*CEILING((P91+E91)/Ports_Agg,1))*EK</f>
        <v>12214.941500391</v>
      </c>
      <c r="R91" s="38" t="n">
        <f aca="false">(Uplink_Monat*12*MAX(1,CEILING(Buchungsquote!V91*Bandbreite/Ueberbuchung/Uplink_Kap,1))+Strom_Standort+P91*Strom_GW+E91*Strom_Mast)*EK+Q91*Wartung</f>
        <v>1681.39824501173</v>
      </c>
    </row>
    <row r="92" customFormat="false" ht="15" hidden="false" customHeight="false" outlineLevel="0" collapsed="false">
      <c r="A92" s="23" t="n">
        <f aca="false">Anlagen!A92</f>
        <v>88</v>
      </c>
      <c r="B92" s="23" t="str">
        <f aca="false">Anlagen!B92</f>
        <v>Zur Insel</v>
      </c>
      <c r="C92" s="23" t="n">
        <f aca="false">IF(Anlagen!X92&lt;&gt;"",Anlagen!X92,MAX(2,CEILING(Anlagen!F92/Parz_je_AP,1)))</f>
        <v>24</v>
      </c>
      <c r="D92" s="23" t="n">
        <f aca="false">IF(Anlagen!Y92&lt;&gt;"",Anlagen!Y92,CEILING(C92/AP_je_Mast,1))</f>
        <v>11</v>
      </c>
      <c r="E92" s="23" t="n">
        <f aca="false">MAX(1,CEILING(D92*Anteil_Technik,1))</f>
        <v>6</v>
      </c>
      <c r="F92" s="37" t="n">
        <f aca="false">IF(Anlagen!Z92&lt;&gt;"",Anlagen!Z92,Leitung_k*SQRT(Anlagen!H92))</f>
        <v>652.604662009091</v>
      </c>
      <c r="G92" s="37" t="n">
        <f aca="false">F92*Faser_f</f>
        <v>1083.32373893509</v>
      </c>
      <c r="H92" s="37" t="n">
        <f aca="false">F92*Kupfer_f</f>
        <v>691.760941729637</v>
      </c>
      <c r="I92" s="23" t="n">
        <f aca="false">ROUND(C92*Kabel_je_AP,0)</f>
        <v>10</v>
      </c>
      <c r="J92" s="38" t="n">
        <f aca="false">E92*(2*P_SFP+P_Flex+P_NT+P_Halter+P_Luefter+P_Spleiss+P_Saeule+P_Ueber)*EK</f>
        <v>5420.688</v>
      </c>
      <c r="K92" s="38" t="n">
        <f aca="false">(C92*P_AP+D92*(P_Mast+P_Fund+P_MontMast)+I92*2*P_Surge)*EK</f>
        <v>16091.18</v>
      </c>
      <c r="L92" s="38" t="n">
        <f aca="false">(G92*P_Faser+H92*P_Kupfer+F92*P_Tiefbau)*EK</f>
        <v>2921.56749878906</v>
      </c>
      <c r="M92" s="38" t="n">
        <f aca="false">Netz!H92+Netz!I92</f>
        <v>4502.62002509244</v>
      </c>
      <c r="N92" s="38" t="n">
        <f aca="false">J92+K92+L92+M92</f>
        <v>28936.0555238815</v>
      </c>
      <c r="O92" s="38" t="n">
        <f aca="false">E92*Strom_Mast*EK+N92*Wartung</f>
        <v>1225.08166571645</v>
      </c>
      <c r="P92" s="23" t="n">
        <f aca="false">CEILING(Anlagen!F92/PG,1)</f>
        <v>2</v>
      </c>
      <c r="Q92" s="38" t="n">
        <f aca="false">J92+K92+L92+(P_KVz+P_USV+P_MontStandort+P92*(P_UCG+P_DAC)+P_Agg*CEILING((P92+E92)/Ports_Agg,1))*EK</f>
        <v>28039.1354987891</v>
      </c>
      <c r="R92" s="38" t="n">
        <f aca="false">(Uplink_Monat*12*MAX(1,CEILING(Buchungsquote!V92*Bandbreite/Ueberbuchung/Uplink_Kap,1))+Strom_Standort+P92*Strom_GW+E92*Strom_Mast)*EK+Q92*Wartung</f>
        <v>2423.87406496367</v>
      </c>
    </row>
    <row r="93" customFormat="false" ht="15" hidden="false" customHeight="false" outlineLevel="0" collapsed="false">
      <c r="B93" s="32" t="s">
        <v>518</v>
      </c>
      <c r="C93" s="33" t="n">
        <f aca="false">SUM(C5:C92)</f>
        <v>1434</v>
      </c>
      <c r="D93" s="33" t="n">
        <f aca="false">SUM(D5:D92)</f>
        <v>694</v>
      </c>
      <c r="E93" s="33" t="n">
        <f aca="false">SUM(E5:E92)</f>
        <v>373</v>
      </c>
      <c r="F93" s="33" t="n">
        <f aca="false">SUM(F5:F92)</f>
        <v>39601.337797651</v>
      </c>
      <c r="G93" s="33" t="n">
        <f aca="false">SUM(G5:G92)</f>
        <v>65738.2207441007</v>
      </c>
      <c r="H93" s="33" t="n">
        <f aca="false">SUM(H5:H92)</f>
        <v>41977.4180655101</v>
      </c>
      <c r="I93" s="33" t="n">
        <f aca="false">SUM(I5:I92)</f>
        <v>605</v>
      </c>
      <c r="J93" s="39" t="n">
        <f aca="false">SUM(J5:J92)</f>
        <v>336986.104</v>
      </c>
      <c r="K93" s="39" t="n">
        <f aca="false">SUM(K5:K92)</f>
        <v>990613.12</v>
      </c>
      <c r="L93" s="39" t="n">
        <f aca="false">SUM(L5:L92)</f>
        <v>177286.477025768</v>
      </c>
      <c r="M93" s="39" t="n">
        <f aca="false">SUM(M5:M92)</f>
        <v>179460.77473939</v>
      </c>
      <c r="N93" s="39" t="n">
        <f aca="false">SUM(N5:N92)</f>
        <v>1684346.47576516</v>
      </c>
      <c r="O93" s="39" t="n">
        <f aca="false">SUM(O5:O92)</f>
        <v>72723.8942729547</v>
      </c>
      <c r="P93" s="33" t="n">
        <f aca="false">SUM(P5:P92)</f>
        <v>133</v>
      </c>
      <c r="Q93" s="39" t="n">
        <f aca="false">SUM(Q5:Q92)</f>
        <v>1812369.80102577</v>
      </c>
      <c r="R93" s="39" t="n">
        <f aca="false">SUM(R5:R92)</f>
        <v>183146.944030773</v>
      </c>
    </row>
    <row r="95" customFormat="false" ht="15" hidden="false" customHeight="false" outlineLevel="0" collapsed="false">
      <c r="B95" s="2" t="s">
        <v>538</v>
      </c>
      <c r="Q95" s="40" t="n">
        <f aca="false">INDEX(Q5:Q92,MATCH(20,A5:A92,0))</f>
        <v>27915.6184482052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6" min="3" style="0" width="9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32"/>
  </cols>
  <sheetData>
    <row r="1" customFormat="false" ht="18.55" hidden="false" customHeight="false" outlineLevel="0" collapsed="false">
      <c r="A1" s="1" t="s">
        <v>539</v>
      </c>
    </row>
    <row r="2" customFormat="false" ht="15" hidden="false" customHeight="false" outlineLevel="0" collapsed="false">
      <c r="A2" s="2" t="s">
        <v>540</v>
      </c>
    </row>
    <row r="4" customFormat="false" ht="45.75" hidden="false" customHeight="true" outlineLevel="0" collapsed="false">
      <c r="A4" s="5" t="s">
        <v>175</v>
      </c>
      <c r="B4" s="5" t="s">
        <v>541</v>
      </c>
      <c r="C4" s="5" t="s">
        <v>542</v>
      </c>
      <c r="D4" s="5" t="s">
        <v>42</v>
      </c>
      <c r="E4" s="5" t="s">
        <v>33</v>
      </c>
      <c r="F4" s="5" t="s">
        <v>543</v>
      </c>
      <c r="G4" s="5" t="s">
        <v>544</v>
      </c>
      <c r="H4" s="5" t="s">
        <v>545</v>
      </c>
      <c r="I4" s="5" t="s">
        <v>46</v>
      </c>
      <c r="J4" s="5" t="s">
        <v>546</v>
      </c>
      <c r="K4" s="5" t="s">
        <v>34</v>
      </c>
      <c r="L4" s="5" t="s">
        <v>547</v>
      </c>
      <c r="M4" s="5" t="s">
        <v>548</v>
      </c>
      <c r="N4" s="5" t="s">
        <v>549</v>
      </c>
      <c r="O4" s="5" t="s">
        <v>550</v>
      </c>
      <c r="P4" s="5" t="s">
        <v>509</v>
      </c>
    </row>
    <row r="5" customFormat="false" ht="15" hidden="false" customHeight="false" outlineLevel="0" collapsed="false">
      <c r="A5" s="23" t="n">
        <f aca="false">Anlagen!A5</f>
        <v>1</v>
      </c>
      <c r="B5" s="23" t="str">
        <f aca="false">IF(Netz!C5=A5,Anlagen!B5,"")</f>
        <v/>
      </c>
      <c r="C5" s="23" t="str">
        <f aca="false">IF(Netz!C5=A5,COUNTIF(Netz!$C$5:$C$92,A5),"")</f>
        <v/>
      </c>
      <c r="D5" s="23" t="str">
        <f aca="false">IF(Netz!C5=A5,SUMIF(Netz!$C$5:$C$92,A5,Anlagen!$F$5:$F$92),"")</f>
        <v/>
      </c>
      <c r="E5" s="23" t="str">
        <f aca="false">IF(Netz!C5=A5,CEILING(D5/PG,1),"")</f>
        <v/>
      </c>
      <c r="F5" s="30" t="str">
        <f aca="false">IF(Netz!C5=A5,D5/(E5*PG),"")</f>
        <v/>
      </c>
      <c r="G5" s="23" t="str">
        <f aca="false">IF(Netz!C5=A5,Investition!E5+COUNTIF(Netz!$D$5:$D$92,A5),"")</f>
        <v/>
      </c>
      <c r="H5" s="23" t="str">
        <f aca="false">IF(Netz!C5=A5,CEILING((E5+G5)/Ports_Agg,1),"")</f>
        <v/>
      </c>
      <c r="I5" s="31" t="str">
        <f aca="false">IF(Netz!C5=A5,SUMIF(Netz!$C$5:$C$92,A5,Netz!$O$5:$O$92),"")</f>
        <v/>
      </c>
      <c r="J5" s="37" t="str">
        <f aca="false">IF(Netz!C5=A5,I5*Bandbreite/Ueberbuchung,"")</f>
        <v/>
      </c>
      <c r="K5" s="23" t="str">
        <f aca="false">IF(Netz!C5=A5,MAX(1,CEILING(J5/Uplink_Kap,1)),"")</f>
        <v/>
      </c>
      <c r="L5" s="38" t="str">
        <f aca="false">IF(Netz!C5=A5,E5*(P_UCG+P_DAC)*EK,"")</f>
        <v/>
      </c>
      <c r="M5" s="38" t="str">
        <f aca="false">IF(Netz!C5=A5,(P_KVz+P_USV+P_MontStandort+H5*P_Agg)*EK,"")</f>
        <v/>
      </c>
      <c r="N5" s="38" t="str">
        <f aca="false">IF(Netz!C5=A5,L5+M5,"")</f>
        <v/>
      </c>
      <c r="O5" s="38" t="str">
        <f aca="false">IF(Netz!C5=A5,(K5*Uplink_Monat*12+Strom_Standort+E5*Strom_GW)*EK+N5*Wartung,"")</f>
        <v/>
      </c>
      <c r="P5" s="23" t="str">
        <f aca="false">IF(Netz!C5=A5,IF(E5&gt;Max_GW,"Achtung: mehr als "&amp;Max_GW&amp;" Gateways",IF(K5&gt;1,"OK – "&amp;K5&amp;" Internet-Anschlüsse nötig","OK")),"")</f>
        <v/>
      </c>
    </row>
    <row r="6" customFormat="false" ht="15" hidden="false" customHeight="false" outlineLevel="0" collapsed="false">
      <c r="A6" s="23" t="n">
        <f aca="false">Anlagen!A6</f>
        <v>2</v>
      </c>
      <c r="B6" s="23" t="str">
        <f aca="false">IF(Netz!C6=A6,Anlagen!B6,"")</f>
        <v/>
      </c>
      <c r="C6" s="23" t="str">
        <f aca="false">IF(Netz!C6=A6,COUNTIF(Netz!$C$5:$C$92,A6),"")</f>
        <v/>
      </c>
      <c r="D6" s="23" t="str">
        <f aca="false">IF(Netz!C6=A6,SUMIF(Netz!$C$5:$C$92,A6,Anlagen!$F$5:$F$92),"")</f>
        <v/>
      </c>
      <c r="E6" s="23" t="str">
        <f aca="false">IF(Netz!C6=A6,CEILING(D6/PG,1),"")</f>
        <v/>
      </c>
      <c r="F6" s="30" t="str">
        <f aca="false">IF(Netz!C6=A6,D6/(E6*PG),"")</f>
        <v/>
      </c>
      <c r="G6" s="23" t="str">
        <f aca="false">IF(Netz!C6=A6,Investition!E6+COUNTIF(Netz!$D$5:$D$92,A6),"")</f>
        <v/>
      </c>
      <c r="H6" s="23" t="str">
        <f aca="false">IF(Netz!C6=A6,CEILING((E6+G6)/Ports_Agg,1),"")</f>
        <v/>
      </c>
      <c r="I6" s="31" t="str">
        <f aca="false">IF(Netz!C6=A6,SUMIF(Netz!$C$5:$C$92,A6,Netz!$O$5:$O$92),"")</f>
        <v/>
      </c>
      <c r="J6" s="37" t="str">
        <f aca="false">IF(Netz!C6=A6,I6*Bandbreite/Ueberbuchung,"")</f>
        <v/>
      </c>
      <c r="K6" s="23" t="str">
        <f aca="false">IF(Netz!C6=A6,MAX(1,CEILING(J6/Uplink_Kap,1)),"")</f>
        <v/>
      </c>
      <c r="L6" s="38" t="str">
        <f aca="false">IF(Netz!C6=A6,E6*(P_UCG+P_DAC)*EK,"")</f>
        <v/>
      </c>
      <c r="M6" s="38" t="str">
        <f aca="false">IF(Netz!C6=A6,(P_KVz+P_USV+P_MontStandort+H6*P_Agg)*EK,"")</f>
        <v/>
      </c>
      <c r="N6" s="38" t="str">
        <f aca="false">IF(Netz!C6=A6,L6+M6,"")</f>
        <v/>
      </c>
      <c r="O6" s="38" t="str">
        <f aca="false">IF(Netz!C6=A6,(K6*Uplink_Monat*12+Strom_Standort+E6*Strom_GW)*EK+N6*Wartung,"")</f>
        <v/>
      </c>
      <c r="P6" s="23" t="str">
        <f aca="false">IF(Netz!C6=A6,IF(E6&gt;Max_GW,"Achtung: mehr als "&amp;Max_GW&amp;" Gateways",IF(K6&gt;1,"OK – "&amp;K6&amp;" Internet-Anschlüsse nötig","OK")),"")</f>
        <v/>
      </c>
    </row>
    <row r="7" customFormat="false" ht="15" hidden="false" customHeight="false" outlineLevel="0" collapsed="false">
      <c r="A7" s="23" t="n">
        <f aca="false">Anlagen!A7</f>
        <v>3</v>
      </c>
      <c r="B7" s="23" t="str">
        <f aca="false">IF(Netz!C7=A7,Anlagen!B7,"")</f>
        <v/>
      </c>
      <c r="C7" s="23" t="str">
        <f aca="false">IF(Netz!C7=A7,COUNTIF(Netz!$C$5:$C$92,A7),"")</f>
        <v/>
      </c>
      <c r="D7" s="23" t="str">
        <f aca="false">IF(Netz!C7=A7,SUMIF(Netz!$C$5:$C$92,A7,Anlagen!$F$5:$F$92),"")</f>
        <v/>
      </c>
      <c r="E7" s="23" t="str">
        <f aca="false">IF(Netz!C7=A7,CEILING(D7/PG,1),"")</f>
        <v/>
      </c>
      <c r="F7" s="30" t="str">
        <f aca="false">IF(Netz!C7=A7,D7/(E7*PG),"")</f>
        <v/>
      </c>
      <c r="G7" s="23" t="str">
        <f aca="false">IF(Netz!C7=A7,Investition!E7+COUNTIF(Netz!$D$5:$D$92,A7),"")</f>
        <v/>
      </c>
      <c r="H7" s="23" t="str">
        <f aca="false">IF(Netz!C7=A7,CEILING((E7+G7)/Ports_Agg,1),"")</f>
        <v/>
      </c>
      <c r="I7" s="31" t="str">
        <f aca="false">IF(Netz!C7=A7,SUMIF(Netz!$C$5:$C$92,A7,Netz!$O$5:$O$92),"")</f>
        <v/>
      </c>
      <c r="J7" s="37" t="str">
        <f aca="false">IF(Netz!C7=A7,I7*Bandbreite/Ueberbuchung,"")</f>
        <v/>
      </c>
      <c r="K7" s="23" t="str">
        <f aca="false">IF(Netz!C7=A7,MAX(1,CEILING(J7/Uplink_Kap,1)),"")</f>
        <v/>
      </c>
      <c r="L7" s="38" t="str">
        <f aca="false">IF(Netz!C7=A7,E7*(P_UCG+P_DAC)*EK,"")</f>
        <v/>
      </c>
      <c r="M7" s="38" t="str">
        <f aca="false">IF(Netz!C7=A7,(P_KVz+P_USV+P_MontStandort+H7*P_Agg)*EK,"")</f>
        <v/>
      </c>
      <c r="N7" s="38" t="str">
        <f aca="false">IF(Netz!C7=A7,L7+M7,"")</f>
        <v/>
      </c>
      <c r="O7" s="38" t="str">
        <f aca="false">IF(Netz!C7=A7,(K7*Uplink_Monat*12+Strom_Standort+E7*Strom_GW)*EK+N7*Wartung,"")</f>
        <v/>
      </c>
      <c r="P7" s="23" t="str">
        <f aca="false">IF(Netz!C7=A7,IF(E7&gt;Max_GW,"Achtung: mehr als "&amp;Max_GW&amp;" Gateways",IF(K7&gt;1,"OK – "&amp;K7&amp;" Internet-Anschlüsse nötig","OK")),"")</f>
        <v/>
      </c>
    </row>
    <row r="8" customFormat="false" ht="15" hidden="false" customHeight="false" outlineLevel="0" collapsed="false">
      <c r="A8" s="23" t="n">
        <f aca="false">Anlagen!A8</f>
        <v>4</v>
      </c>
      <c r="B8" s="23" t="str">
        <f aca="false">IF(Netz!C8=A8,Anlagen!B8,"")</f>
        <v/>
      </c>
      <c r="C8" s="23" t="str">
        <f aca="false">IF(Netz!C8=A8,COUNTIF(Netz!$C$5:$C$92,A8),"")</f>
        <v/>
      </c>
      <c r="D8" s="23" t="str">
        <f aca="false">IF(Netz!C8=A8,SUMIF(Netz!$C$5:$C$92,A8,Anlagen!$F$5:$F$92),"")</f>
        <v/>
      </c>
      <c r="E8" s="23" t="str">
        <f aca="false">IF(Netz!C8=A8,CEILING(D8/PG,1),"")</f>
        <v/>
      </c>
      <c r="F8" s="30" t="str">
        <f aca="false">IF(Netz!C8=A8,D8/(E8*PG),"")</f>
        <v/>
      </c>
      <c r="G8" s="23" t="str">
        <f aca="false">IF(Netz!C8=A8,Investition!E8+COUNTIF(Netz!$D$5:$D$92,A8),"")</f>
        <v/>
      </c>
      <c r="H8" s="23" t="str">
        <f aca="false">IF(Netz!C8=A8,CEILING((E8+G8)/Ports_Agg,1),"")</f>
        <v/>
      </c>
      <c r="I8" s="31" t="str">
        <f aca="false">IF(Netz!C8=A8,SUMIF(Netz!$C$5:$C$92,A8,Netz!$O$5:$O$92),"")</f>
        <v/>
      </c>
      <c r="J8" s="37" t="str">
        <f aca="false">IF(Netz!C8=A8,I8*Bandbreite/Ueberbuchung,"")</f>
        <v/>
      </c>
      <c r="K8" s="23" t="str">
        <f aca="false">IF(Netz!C8=A8,MAX(1,CEILING(J8/Uplink_Kap,1)),"")</f>
        <v/>
      </c>
      <c r="L8" s="38" t="str">
        <f aca="false">IF(Netz!C8=A8,E8*(P_UCG+P_DAC)*EK,"")</f>
        <v/>
      </c>
      <c r="M8" s="38" t="str">
        <f aca="false">IF(Netz!C8=A8,(P_KVz+P_USV+P_MontStandort+H8*P_Agg)*EK,"")</f>
        <v/>
      </c>
      <c r="N8" s="38" t="str">
        <f aca="false">IF(Netz!C8=A8,L8+M8,"")</f>
        <v/>
      </c>
      <c r="O8" s="38" t="str">
        <f aca="false">IF(Netz!C8=A8,(K8*Uplink_Monat*12+Strom_Standort+E8*Strom_GW)*EK+N8*Wartung,"")</f>
        <v/>
      </c>
      <c r="P8" s="23" t="str">
        <f aca="false">IF(Netz!C8=A8,IF(E8&gt;Max_GW,"Achtung: mehr als "&amp;Max_GW&amp;" Gateways",IF(K8&gt;1,"OK – "&amp;K8&amp;" Internet-Anschlüsse nötig","OK")),"")</f>
        <v/>
      </c>
    </row>
    <row r="9" customFormat="false" ht="15" hidden="false" customHeight="false" outlineLevel="0" collapsed="false">
      <c r="A9" s="23" t="n">
        <f aca="false">Anlagen!A9</f>
        <v>5</v>
      </c>
      <c r="B9" s="23" t="str">
        <f aca="false">IF(Netz!C9=A9,Anlagen!B9,"")</f>
        <v/>
      </c>
      <c r="C9" s="23" t="str">
        <f aca="false">IF(Netz!C9=A9,COUNTIF(Netz!$C$5:$C$92,A9),"")</f>
        <v/>
      </c>
      <c r="D9" s="23" t="str">
        <f aca="false">IF(Netz!C9=A9,SUMIF(Netz!$C$5:$C$92,A9,Anlagen!$F$5:$F$92),"")</f>
        <v/>
      </c>
      <c r="E9" s="23" t="str">
        <f aca="false">IF(Netz!C9=A9,CEILING(D9/PG,1),"")</f>
        <v/>
      </c>
      <c r="F9" s="30" t="str">
        <f aca="false">IF(Netz!C9=A9,D9/(E9*PG),"")</f>
        <v/>
      </c>
      <c r="G9" s="23" t="str">
        <f aca="false">IF(Netz!C9=A9,Investition!E9+COUNTIF(Netz!$D$5:$D$92,A9),"")</f>
        <v/>
      </c>
      <c r="H9" s="23" t="str">
        <f aca="false">IF(Netz!C9=A9,CEILING((E9+G9)/Ports_Agg,1),"")</f>
        <v/>
      </c>
      <c r="I9" s="31" t="str">
        <f aca="false">IF(Netz!C9=A9,SUMIF(Netz!$C$5:$C$92,A9,Netz!$O$5:$O$92),"")</f>
        <v/>
      </c>
      <c r="J9" s="37" t="str">
        <f aca="false">IF(Netz!C9=A9,I9*Bandbreite/Ueberbuchung,"")</f>
        <v/>
      </c>
      <c r="K9" s="23" t="str">
        <f aca="false">IF(Netz!C9=A9,MAX(1,CEILING(J9/Uplink_Kap,1)),"")</f>
        <v/>
      </c>
      <c r="L9" s="38" t="str">
        <f aca="false">IF(Netz!C9=A9,E9*(P_UCG+P_DAC)*EK,"")</f>
        <v/>
      </c>
      <c r="M9" s="38" t="str">
        <f aca="false">IF(Netz!C9=A9,(P_KVz+P_USV+P_MontStandort+H9*P_Agg)*EK,"")</f>
        <v/>
      </c>
      <c r="N9" s="38" t="str">
        <f aca="false">IF(Netz!C9=A9,L9+M9,"")</f>
        <v/>
      </c>
      <c r="O9" s="38" t="str">
        <f aca="false">IF(Netz!C9=A9,(K9*Uplink_Monat*12+Strom_Standort+E9*Strom_GW)*EK+N9*Wartung,"")</f>
        <v/>
      </c>
      <c r="P9" s="23" t="str">
        <f aca="false">IF(Netz!C9=A9,IF(E9&gt;Max_GW,"Achtung: mehr als "&amp;Max_GW&amp;" Gateways",IF(K9&gt;1,"OK – "&amp;K9&amp;" Internet-Anschlüsse nötig","OK")),"")</f>
        <v/>
      </c>
    </row>
    <row r="10" customFormat="false" ht="15" hidden="false" customHeight="false" outlineLevel="0" collapsed="false">
      <c r="A10" s="23" t="n">
        <f aca="false">Anlagen!A10</f>
        <v>6</v>
      </c>
      <c r="B10" s="23" t="str">
        <f aca="false">IF(Netz!C10=A10,Anlagen!B10,"")</f>
        <v/>
      </c>
      <c r="C10" s="23" t="str">
        <f aca="false">IF(Netz!C10=A10,COUNTIF(Netz!$C$5:$C$92,A10),"")</f>
        <v/>
      </c>
      <c r="D10" s="23" t="str">
        <f aca="false">IF(Netz!C10=A10,SUMIF(Netz!$C$5:$C$92,A10,Anlagen!$F$5:$F$92),"")</f>
        <v/>
      </c>
      <c r="E10" s="23" t="str">
        <f aca="false">IF(Netz!C10=A10,CEILING(D10/PG,1),"")</f>
        <v/>
      </c>
      <c r="F10" s="30" t="str">
        <f aca="false">IF(Netz!C10=A10,D10/(E10*PG),"")</f>
        <v/>
      </c>
      <c r="G10" s="23" t="str">
        <f aca="false">IF(Netz!C10=A10,Investition!E10+COUNTIF(Netz!$D$5:$D$92,A10),"")</f>
        <v/>
      </c>
      <c r="H10" s="23" t="str">
        <f aca="false">IF(Netz!C10=A10,CEILING((E10+G10)/Ports_Agg,1),"")</f>
        <v/>
      </c>
      <c r="I10" s="31" t="str">
        <f aca="false">IF(Netz!C10=A10,SUMIF(Netz!$C$5:$C$92,A10,Netz!$O$5:$O$92),"")</f>
        <v/>
      </c>
      <c r="J10" s="37" t="str">
        <f aca="false">IF(Netz!C10=A10,I10*Bandbreite/Ueberbuchung,"")</f>
        <v/>
      </c>
      <c r="K10" s="23" t="str">
        <f aca="false">IF(Netz!C10=A10,MAX(1,CEILING(J10/Uplink_Kap,1)),"")</f>
        <v/>
      </c>
      <c r="L10" s="38" t="str">
        <f aca="false">IF(Netz!C10=A10,E10*(P_UCG+P_DAC)*EK,"")</f>
        <v/>
      </c>
      <c r="M10" s="38" t="str">
        <f aca="false">IF(Netz!C10=A10,(P_KVz+P_USV+P_MontStandort+H10*P_Agg)*EK,"")</f>
        <v/>
      </c>
      <c r="N10" s="38" t="str">
        <f aca="false">IF(Netz!C10=A10,L10+M10,"")</f>
        <v/>
      </c>
      <c r="O10" s="38" t="str">
        <f aca="false">IF(Netz!C10=A10,(K10*Uplink_Monat*12+Strom_Standort+E10*Strom_GW)*EK+N10*Wartung,"")</f>
        <v/>
      </c>
      <c r="P10" s="23" t="str">
        <f aca="false">IF(Netz!C10=A10,IF(E10&gt;Max_GW,"Achtung: mehr als "&amp;Max_GW&amp;" Gateways",IF(K10&gt;1,"OK – "&amp;K10&amp;" Internet-Anschlüsse nötig","OK")),"")</f>
        <v/>
      </c>
    </row>
    <row r="11" customFormat="false" ht="15" hidden="false" customHeight="false" outlineLevel="0" collapsed="false">
      <c r="A11" s="23" t="n">
        <f aca="false">Anlagen!A11</f>
        <v>7</v>
      </c>
      <c r="B11" s="23" t="str">
        <f aca="false">IF(Netz!C11=A11,Anlagen!B11,"")</f>
        <v/>
      </c>
      <c r="C11" s="23" t="str">
        <f aca="false">IF(Netz!C11=A11,COUNTIF(Netz!$C$5:$C$92,A11),"")</f>
        <v/>
      </c>
      <c r="D11" s="23" t="str">
        <f aca="false">IF(Netz!C11=A11,SUMIF(Netz!$C$5:$C$92,A11,Anlagen!$F$5:$F$92),"")</f>
        <v/>
      </c>
      <c r="E11" s="23" t="str">
        <f aca="false">IF(Netz!C11=A11,CEILING(D11/PG,1),"")</f>
        <v/>
      </c>
      <c r="F11" s="30" t="str">
        <f aca="false">IF(Netz!C11=A11,D11/(E11*PG),"")</f>
        <v/>
      </c>
      <c r="G11" s="23" t="str">
        <f aca="false">IF(Netz!C11=A11,Investition!E11+COUNTIF(Netz!$D$5:$D$92,A11),"")</f>
        <v/>
      </c>
      <c r="H11" s="23" t="str">
        <f aca="false">IF(Netz!C11=A11,CEILING((E11+G11)/Ports_Agg,1),"")</f>
        <v/>
      </c>
      <c r="I11" s="31" t="str">
        <f aca="false">IF(Netz!C11=A11,SUMIF(Netz!$C$5:$C$92,A11,Netz!$O$5:$O$92),"")</f>
        <v/>
      </c>
      <c r="J11" s="37" t="str">
        <f aca="false">IF(Netz!C11=A11,I11*Bandbreite/Ueberbuchung,"")</f>
        <v/>
      </c>
      <c r="K11" s="23" t="str">
        <f aca="false">IF(Netz!C11=A11,MAX(1,CEILING(J11/Uplink_Kap,1)),"")</f>
        <v/>
      </c>
      <c r="L11" s="38" t="str">
        <f aca="false">IF(Netz!C11=A11,E11*(P_UCG+P_DAC)*EK,"")</f>
        <v/>
      </c>
      <c r="M11" s="38" t="str">
        <f aca="false">IF(Netz!C11=A11,(P_KVz+P_USV+P_MontStandort+H11*P_Agg)*EK,"")</f>
        <v/>
      </c>
      <c r="N11" s="38" t="str">
        <f aca="false">IF(Netz!C11=A11,L11+M11,"")</f>
        <v/>
      </c>
      <c r="O11" s="38" t="str">
        <f aca="false">IF(Netz!C11=A11,(K11*Uplink_Monat*12+Strom_Standort+E11*Strom_GW)*EK+N11*Wartung,"")</f>
        <v/>
      </c>
      <c r="P11" s="23" t="str">
        <f aca="false">IF(Netz!C11=A11,IF(E11&gt;Max_GW,"Achtung: mehr als "&amp;Max_GW&amp;" Gateways",IF(K11&gt;1,"OK – "&amp;K11&amp;" Internet-Anschlüsse nötig","OK")),"")</f>
        <v/>
      </c>
    </row>
    <row r="12" customFormat="false" ht="15" hidden="false" customHeight="false" outlineLevel="0" collapsed="false">
      <c r="A12" s="23" t="n">
        <f aca="false">Anlagen!A12</f>
        <v>8</v>
      </c>
      <c r="B12" s="23" t="str">
        <f aca="false">IF(Netz!C12=A12,Anlagen!B12,"")</f>
        <v/>
      </c>
      <c r="C12" s="23" t="str">
        <f aca="false">IF(Netz!C12=A12,COUNTIF(Netz!$C$5:$C$92,A12),"")</f>
        <v/>
      </c>
      <c r="D12" s="23" t="str">
        <f aca="false">IF(Netz!C12=A12,SUMIF(Netz!$C$5:$C$92,A12,Anlagen!$F$5:$F$92),"")</f>
        <v/>
      </c>
      <c r="E12" s="23" t="str">
        <f aca="false">IF(Netz!C12=A12,CEILING(D12/PG,1),"")</f>
        <v/>
      </c>
      <c r="F12" s="30" t="str">
        <f aca="false">IF(Netz!C12=A12,D12/(E12*PG),"")</f>
        <v/>
      </c>
      <c r="G12" s="23" t="str">
        <f aca="false">IF(Netz!C12=A12,Investition!E12+COUNTIF(Netz!$D$5:$D$92,A12),"")</f>
        <v/>
      </c>
      <c r="H12" s="23" t="str">
        <f aca="false">IF(Netz!C12=A12,CEILING((E12+G12)/Ports_Agg,1),"")</f>
        <v/>
      </c>
      <c r="I12" s="31" t="str">
        <f aca="false">IF(Netz!C12=A12,SUMIF(Netz!$C$5:$C$92,A12,Netz!$O$5:$O$92),"")</f>
        <v/>
      </c>
      <c r="J12" s="37" t="str">
        <f aca="false">IF(Netz!C12=A12,I12*Bandbreite/Ueberbuchung,"")</f>
        <v/>
      </c>
      <c r="K12" s="23" t="str">
        <f aca="false">IF(Netz!C12=A12,MAX(1,CEILING(J12/Uplink_Kap,1)),"")</f>
        <v/>
      </c>
      <c r="L12" s="38" t="str">
        <f aca="false">IF(Netz!C12=A12,E12*(P_UCG+P_DAC)*EK,"")</f>
        <v/>
      </c>
      <c r="M12" s="38" t="str">
        <f aca="false">IF(Netz!C12=A12,(P_KVz+P_USV+P_MontStandort+H12*P_Agg)*EK,"")</f>
        <v/>
      </c>
      <c r="N12" s="38" t="str">
        <f aca="false">IF(Netz!C12=A12,L12+M12,"")</f>
        <v/>
      </c>
      <c r="O12" s="38" t="str">
        <f aca="false">IF(Netz!C12=A12,(K12*Uplink_Monat*12+Strom_Standort+E12*Strom_GW)*EK+N12*Wartung,"")</f>
        <v/>
      </c>
      <c r="P12" s="23" t="str">
        <f aca="false">IF(Netz!C12=A12,IF(E12&gt;Max_GW,"Achtung: mehr als "&amp;Max_GW&amp;" Gateways",IF(K12&gt;1,"OK – "&amp;K12&amp;" Internet-Anschlüsse nötig","OK")),"")</f>
        <v/>
      </c>
    </row>
    <row r="13" customFormat="false" ht="15" hidden="false" customHeight="false" outlineLevel="0" collapsed="false">
      <c r="A13" s="23" t="n">
        <f aca="false">Anlagen!A13</f>
        <v>9</v>
      </c>
      <c r="B13" s="23" t="str">
        <f aca="false">IF(Netz!C13=A13,Anlagen!B13,"")</f>
        <v/>
      </c>
      <c r="C13" s="23" t="str">
        <f aca="false">IF(Netz!C13=A13,COUNTIF(Netz!$C$5:$C$92,A13),"")</f>
        <v/>
      </c>
      <c r="D13" s="23" t="str">
        <f aca="false">IF(Netz!C13=A13,SUMIF(Netz!$C$5:$C$92,A13,Anlagen!$F$5:$F$92),"")</f>
        <v/>
      </c>
      <c r="E13" s="23" t="str">
        <f aca="false">IF(Netz!C13=A13,CEILING(D13/PG,1),"")</f>
        <v/>
      </c>
      <c r="F13" s="30" t="str">
        <f aca="false">IF(Netz!C13=A13,D13/(E13*PG),"")</f>
        <v/>
      </c>
      <c r="G13" s="23" t="str">
        <f aca="false">IF(Netz!C13=A13,Investition!E13+COUNTIF(Netz!$D$5:$D$92,A13),"")</f>
        <v/>
      </c>
      <c r="H13" s="23" t="str">
        <f aca="false">IF(Netz!C13=A13,CEILING((E13+G13)/Ports_Agg,1),"")</f>
        <v/>
      </c>
      <c r="I13" s="31" t="str">
        <f aca="false">IF(Netz!C13=A13,SUMIF(Netz!$C$5:$C$92,A13,Netz!$O$5:$O$92),"")</f>
        <v/>
      </c>
      <c r="J13" s="37" t="str">
        <f aca="false">IF(Netz!C13=A13,I13*Bandbreite/Ueberbuchung,"")</f>
        <v/>
      </c>
      <c r="K13" s="23" t="str">
        <f aca="false">IF(Netz!C13=A13,MAX(1,CEILING(J13/Uplink_Kap,1)),"")</f>
        <v/>
      </c>
      <c r="L13" s="38" t="str">
        <f aca="false">IF(Netz!C13=A13,E13*(P_UCG+P_DAC)*EK,"")</f>
        <v/>
      </c>
      <c r="M13" s="38" t="str">
        <f aca="false">IF(Netz!C13=A13,(P_KVz+P_USV+P_MontStandort+H13*P_Agg)*EK,"")</f>
        <v/>
      </c>
      <c r="N13" s="38" t="str">
        <f aca="false">IF(Netz!C13=A13,L13+M13,"")</f>
        <v/>
      </c>
      <c r="O13" s="38" t="str">
        <f aca="false">IF(Netz!C13=A13,(K13*Uplink_Monat*12+Strom_Standort+E13*Strom_GW)*EK+N13*Wartung,"")</f>
        <v/>
      </c>
      <c r="P13" s="23" t="str">
        <f aca="false">IF(Netz!C13=A13,IF(E13&gt;Max_GW,"Achtung: mehr als "&amp;Max_GW&amp;" Gateways",IF(K13&gt;1,"OK – "&amp;K13&amp;" Internet-Anschlüsse nötig","OK")),"")</f>
        <v/>
      </c>
    </row>
    <row r="14" customFormat="false" ht="15" hidden="false" customHeight="false" outlineLevel="0" collapsed="false">
      <c r="A14" s="23" t="n">
        <f aca="false">Anlagen!A14</f>
        <v>10</v>
      </c>
      <c r="B14" s="23" t="str">
        <f aca="false">IF(Netz!C14=A14,Anlagen!B14,"")</f>
        <v/>
      </c>
      <c r="C14" s="23" t="str">
        <f aca="false">IF(Netz!C14=A14,COUNTIF(Netz!$C$5:$C$92,A14),"")</f>
        <v/>
      </c>
      <c r="D14" s="23" t="str">
        <f aca="false">IF(Netz!C14=A14,SUMIF(Netz!$C$5:$C$92,A14,Anlagen!$F$5:$F$92),"")</f>
        <v/>
      </c>
      <c r="E14" s="23" t="str">
        <f aca="false">IF(Netz!C14=A14,CEILING(D14/PG,1),"")</f>
        <v/>
      </c>
      <c r="F14" s="30" t="str">
        <f aca="false">IF(Netz!C14=A14,D14/(E14*PG),"")</f>
        <v/>
      </c>
      <c r="G14" s="23" t="str">
        <f aca="false">IF(Netz!C14=A14,Investition!E14+COUNTIF(Netz!$D$5:$D$92,A14),"")</f>
        <v/>
      </c>
      <c r="H14" s="23" t="str">
        <f aca="false">IF(Netz!C14=A14,CEILING((E14+G14)/Ports_Agg,1),"")</f>
        <v/>
      </c>
      <c r="I14" s="31" t="str">
        <f aca="false">IF(Netz!C14=A14,SUMIF(Netz!$C$5:$C$92,A14,Netz!$O$5:$O$92),"")</f>
        <v/>
      </c>
      <c r="J14" s="37" t="str">
        <f aca="false">IF(Netz!C14=A14,I14*Bandbreite/Ueberbuchung,"")</f>
        <v/>
      </c>
      <c r="K14" s="23" t="str">
        <f aca="false">IF(Netz!C14=A14,MAX(1,CEILING(J14/Uplink_Kap,1)),"")</f>
        <v/>
      </c>
      <c r="L14" s="38" t="str">
        <f aca="false">IF(Netz!C14=A14,E14*(P_UCG+P_DAC)*EK,"")</f>
        <v/>
      </c>
      <c r="M14" s="38" t="str">
        <f aca="false">IF(Netz!C14=A14,(P_KVz+P_USV+P_MontStandort+H14*P_Agg)*EK,"")</f>
        <v/>
      </c>
      <c r="N14" s="38" t="str">
        <f aca="false">IF(Netz!C14=A14,L14+M14,"")</f>
        <v/>
      </c>
      <c r="O14" s="38" t="str">
        <f aca="false">IF(Netz!C14=A14,(K14*Uplink_Monat*12+Strom_Standort+E14*Strom_GW)*EK+N14*Wartung,"")</f>
        <v/>
      </c>
      <c r="P14" s="23" t="str">
        <f aca="false">IF(Netz!C14=A14,IF(E14&gt;Max_GW,"Achtung: mehr als "&amp;Max_GW&amp;" Gateways",IF(K14&gt;1,"OK – "&amp;K14&amp;" Internet-Anschlüsse nötig","OK")),"")</f>
        <v/>
      </c>
    </row>
    <row r="15" customFormat="false" ht="15" hidden="false" customHeight="false" outlineLevel="0" collapsed="false">
      <c r="A15" s="23" t="n">
        <f aca="false">Anlagen!A15</f>
        <v>11</v>
      </c>
      <c r="B15" s="23" t="str">
        <f aca="false">IF(Netz!C15=A15,Anlagen!B15,"")</f>
        <v/>
      </c>
      <c r="C15" s="23" t="str">
        <f aca="false">IF(Netz!C15=A15,COUNTIF(Netz!$C$5:$C$92,A15),"")</f>
        <v/>
      </c>
      <c r="D15" s="23" t="str">
        <f aca="false">IF(Netz!C15=A15,SUMIF(Netz!$C$5:$C$92,A15,Anlagen!$F$5:$F$92),"")</f>
        <v/>
      </c>
      <c r="E15" s="23" t="str">
        <f aca="false">IF(Netz!C15=A15,CEILING(D15/PG,1),"")</f>
        <v/>
      </c>
      <c r="F15" s="30" t="str">
        <f aca="false">IF(Netz!C15=A15,D15/(E15*PG),"")</f>
        <v/>
      </c>
      <c r="G15" s="23" t="str">
        <f aca="false">IF(Netz!C15=A15,Investition!E15+COUNTIF(Netz!$D$5:$D$92,A15),"")</f>
        <v/>
      </c>
      <c r="H15" s="23" t="str">
        <f aca="false">IF(Netz!C15=A15,CEILING((E15+G15)/Ports_Agg,1),"")</f>
        <v/>
      </c>
      <c r="I15" s="31" t="str">
        <f aca="false">IF(Netz!C15=A15,SUMIF(Netz!$C$5:$C$92,A15,Netz!$O$5:$O$92),"")</f>
        <v/>
      </c>
      <c r="J15" s="37" t="str">
        <f aca="false">IF(Netz!C15=A15,I15*Bandbreite/Ueberbuchung,"")</f>
        <v/>
      </c>
      <c r="K15" s="23" t="str">
        <f aca="false">IF(Netz!C15=A15,MAX(1,CEILING(J15/Uplink_Kap,1)),"")</f>
        <v/>
      </c>
      <c r="L15" s="38" t="str">
        <f aca="false">IF(Netz!C15=A15,E15*(P_UCG+P_DAC)*EK,"")</f>
        <v/>
      </c>
      <c r="M15" s="38" t="str">
        <f aca="false">IF(Netz!C15=A15,(P_KVz+P_USV+P_MontStandort+H15*P_Agg)*EK,"")</f>
        <v/>
      </c>
      <c r="N15" s="38" t="str">
        <f aca="false">IF(Netz!C15=A15,L15+M15,"")</f>
        <v/>
      </c>
      <c r="O15" s="38" t="str">
        <f aca="false">IF(Netz!C15=A15,(K15*Uplink_Monat*12+Strom_Standort+E15*Strom_GW)*EK+N15*Wartung,"")</f>
        <v/>
      </c>
      <c r="P15" s="23" t="str">
        <f aca="false">IF(Netz!C15=A15,IF(E15&gt;Max_GW,"Achtung: mehr als "&amp;Max_GW&amp;" Gateways",IF(K15&gt;1,"OK – "&amp;K15&amp;" Internet-Anschlüsse nötig","OK")),"")</f>
        <v/>
      </c>
    </row>
    <row r="16" customFormat="false" ht="15" hidden="false" customHeight="false" outlineLevel="0" collapsed="false">
      <c r="A16" s="23" t="n">
        <f aca="false">Anlagen!A16</f>
        <v>12</v>
      </c>
      <c r="B16" s="23" t="str">
        <f aca="false">IF(Netz!C16=A16,Anlagen!B16,"")</f>
        <v/>
      </c>
      <c r="C16" s="23" t="str">
        <f aca="false">IF(Netz!C16=A16,COUNTIF(Netz!$C$5:$C$92,A16),"")</f>
        <v/>
      </c>
      <c r="D16" s="23" t="str">
        <f aca="false">IF(Netz!C16=A16,SUMIF(Netz!$C$5:$C$92,A16,Anlagen!$F$5:$F$92),"")</f>
        <v/>
      </c>
      <c r="E16" s="23" t="str">
        <f aca="false">IF(Netz!C16=A16,CEILING(D16/PG,1),"")</f>
        <v/>
      </c>
      <c r="F16" s="30" t="str">
        <f aca="false">IF(Netz!C16=A16,D16/(E16*PG),"")</f>
        <v/>
      </c>
      <c r="G16" s="23" t="str">
        <f aca="false">IF(Netz!C16=A16,Investition!E16+COUNTIF(Netz!$D$5:$D$92,A16),"")</f>
        <v/>
      </c>
      <c r="H16" s="23" t="str">
        <f aca="false">IF(Netz!C16=A16,CEILING((E16+G16)/Ports_Agg,1),"")</f>
        <v/>
      </c>
      <c r="I16" s="31" t="str">
        <f aca="false">IF(Netz!C16=A16,SUMIF(Netz!$C$5:$C$92,A16,Netz!$O$5:$O$92),"")</f>
        <v/>
      </c>
      <c r="J16" s="37" t="str">
        <f aca="false">IF(Netz!C16=A16,I16*Bandbreite/Ueberbuchung,"")</f>
        <v/>
      </c>
      <c r="K16" s="23" t="str">
        <f aca="false">IF(Netz!C16=A16,MAX(1,CEILING(J16/Uplink_Kap,1)),"")</f>
        <v/>
      </c>
      <c r="L16" s="38" t="str">
        <f aca="false">IF(Netz!C16=A16,E16*(P_UCG+P_DAC)*EK,"")</f>
        <v/>
      </c>
      <c r="M16" s="38" t="str">
        <f aca="false">IF(Netz!C16=A16,(P_KVz+P_USV+P_MontStandort+H16*P_Agg)*EK,"")</f>
        <v/>
      </c>
      <c r="N16" s="38" t="str">
        <f aca="false">IF(Netz!C16=A16,L16+M16,"")</f>
        <v/>
      </c>
      <c r="O16" s="38" t="str">
        <f aca="false">IF(Netz!C16=A16,(K16*Uplink_Monat*12+Strom_Standort+E16*Strom_GW)*EK+N16*Wartung,"")</f>
        <v/>
      </c>
      <c r="P16" s="23" t="str">
        <f aca="false">IF(Netz!C16=A16,IF(E16&gt;Max_GW,"Achtung: mehr als "&amp;Max_GW&amp;" Gateways",IF(K16&gt;1,"OK – "&amp;K16&amp;" Internet-Anschlüsse nötig","OK")),"")</f>
        <v/>
      </c>
    </row>
    <row r="17" customFormat="false" ht="15" hidden="false" customHeight="false" outlineLevel="0" collapsed="false">
      <c r="A17" s="23" t="n">
        <f aca="false">Anlagen!A17</f>
        <v>13</v>
      </c>
      <c r="B17" s="23" t="str">
        <f aca="false">IF(Netz!C17=A17,Anlagen!B17,"")</f>
        <v/>
      </c>
      <c r="C17" s="23" t="str">
        <f aca="false">IF(Netz!C17=A17,COUNTIF(Netz!$C$5:$C$92,A17),"")</f>
        <v/>
      </c>
      <c r="D17" s="23" t="str">
        <f aca="false">IF(Netz!C17=A17,SUMIF(Netz!$C$5:$C$92,A17,Anlagen!$F$5:$F$92),"")</f>
        <v/>
      </c>
      <c r="E17" s="23" t="str">
        <f aca="false">IF(Netz!C17=A17,CEILING(D17/PG,1),"")</f>
        <v/>
      </c>
      <c r="F17" s="30" t="str">
        <f aca="false">IF(Netz!C17=A17,D17/(E17*PG),"")</f>
        <v/>
      </c>
      <c r="G17" s="23" t="str">
        <f aca="false">IF(Netz!C17=A17,Investition!E17+COUNTIF(Netz!$D$5:$D$92,A17),"")</f>
        <v/>
      </c>
      <c r="H17" s="23" t="str">
        <f aca="false">IF(Netz!C17=A17,CEILING((E17+G17)/Ports_Agg,1),"")</f>
        <v/>
      </c>
      <c r="I17" s="31" t="str">
        <f aca="false">IF(Netz!C17=A17,SUMIF(Netz!$C$5:$C$92,A17,Netz!$O$5:$O$92),"")</f>
        <v/>
      </c>
      <c r="J17" s="37" t="str">
        <f aca="false">IF(Netz!C17=A17,I17*Bandbreite/Ueberbuchung,"")</f>
        <v/>
      </c>
      <c r="K17" s="23" t="str">
        <f aca="false">IF(Netz!C17=A17,MAX(1,CEILING(J17/Uplink_Kap,1)),"")</f>
        <v/>
      </c>
      <c r="L17" s="38" t="str">
        <f aca="false">IF(Netz!C17=A17,E17*(P_UCG+P_DAC)*EK,"")</f>
        <v/>
      </c>
      <c r="M17" s="38" t="str">
        <f aca="false">IF(Netz!C17=A17,(P_KVz+P_USV+P_MontStandort+H17*P_Agg)*EK,"")</f>
        <v/>
      </c>
      <c r="N17" s="38" t="str">
        <f aca="false">IF(Netz!C17=A17,L17+M17,"")</f>
        <v/>
      </c>
      <c r="O17" s="38" t="str">
        <f aca="false">IF(Netz!C17=A17,(K17*Uplink_Monat*12+Strom_Standort+E17*Strom_GW)*EK+N17*Wartung,"")</f>
        <v/>
      </c>
      <c r="P17" s="23" t="str">
        <f aca="false">IF(Netz!C17=A17,IF(E17&gt;Max_GW,"Achtung: mehr als "&amp;Max_GW&amp;" Gateways",IF(K17&gt;1,"OK – "&amp;K17&amp;" Internet-Anschlüsse nötig","OK")),"")</f>
        <v/>
      </c>
    </row>
    <row r="18" customFormat="false" ht="15" hidden="false" customHeight="false" outlineLevel="0" collapsed="false">
      <c r="A18" s="23" t="n">
        <f aca="false">Anlagen!A18</f>
        <v>14</v>
      </c>
      <c r="B18" s="23" t="str">
        <f aca="false">IF(Netz!C18=A18,Anlagen!B18,"")</f>
        <v/>
      </c>
      <c r="C18" s="23" t="str">
        <f aca="false">IF(Netz!C18=A18,COUNTIF(Netz!$C$5:$C$92,A18),"")</f>
        <v/>
      </c>
      <c r="D18" s="23" t="str">
        <f aca="false">IF(Netz!C18=A18,SUMIF(Netz!$C$5:$C$92,A18,Anlagen!$F$5:$F$92),"")</f>
        <v/>
      </c>
      <c r="E18" s="23" t="str">
        <f aca="false">IF(Netz!C18=A18,CEILING(D18/PG,1),"")</f>
        <v/>
      </c>
      <c r="F18" s="30" t="str">
        <f aca="false">IF(Netz!C18=A18,D18/(E18*PG),"")</f>
        <v/>
      </c>
      <c r="G18" s="23" t="str">
        <f aca="false">IF(Netz!C18=A18,Investition!E18+COUNTIF(Netz!$D$5:$D$92,A18),"")</f>
        <v/>
      </c>
      <c r="H18" s="23" t="str">
        <f aca="false">IF(Netz!C18=A18,CEILING((E18+G18)/Ports_Agg,1),"")</f>
        <v/>
      </c>
      <c r="I18" s="31" t="str">
        <f aca="false">IF(Netz!C18=A18,SUMIF(Netz!$C$5:$C$92,A18,Netz!$O$5:$O$92),"")</f>
        <v/>
      </c>
      <c r="J18" s="37" t="str">
        <f aca="false">IF(Netz!C18=A18,I18*Bandbreite/Ueberbuchung,"")</f>
        <v/>
      </c>
      <c r="K18" s="23" t="str">
        <f aca="false">IF(Netz!C18=A18,MAX(1,CEILING(J18/Uplink_Kap,1)),"")</f>
        <v/>
      </c>
      <c r="L18" s="38" t="str">
        <f aca="false">IF(Netz!C18=A18,E18*(P_UCG+P_DAC)*EK,"")</f>
        <v/>
      </c>
      <c r="M18" s="38" t="str">
        <f aca="false">IF(Netz!C18=A18,(P_KVz+P_USV+P_MontStandort+H18*P_Agg)*EK,"")</f>
        <v/>
      </c>
      <c r="N18" s="38" t="str">
        <f aca="false">IF(Netz!C18=A18,L18+M18,"")</f>
        <v/>
      </c>
      <c r="O18" s="38" t="str">
        <f aca="false">IF(Netz!C18=A18,(K18*Uplink_Monat*12+Strom_Standort+E18*Strom_GW)*EK+N18*Wartung,"")</f>
        <v/>
      </c>
      <c r="P18" s="23" t="str">
        <f aca="false">IF(Netz!C18=A18,IF(E18&gt;Max_GW,"Achtung: mehr als "&amp;Max_GW&amp;" Gateways",IF(K18&gt;1,"OK – "&amp;K18&amp;" Internet-Anschlüsse nötig","OK")),"")</f>
        <v/>
      </c>
    </row>
    <row r="19" customFormat="false" ht="15" hidden="false" customHeight="false" outlineLevel="0" collapsed="false">
      <c r="A19" s="23" t="n">
        <f aca="false">Anlagen!A19</f>
        <v>15</v>
      </c>
      <c r="B19" s="23" t="str">
        <f aca="false">IF(Netz!C19=A19,Anlagen!B19,"")</f>
        <v/>
      </c>
      <c r="C19" s="23" t="str">
        <f aca="false">IF(Netz!C19=A19,COUNTIF(Netz!$C$5:$C$92,A19),"")</f>
        <v/>
      </c>
      <c r="D19" s="23" t="str">
        <f aca="false">IF(Netz!C19=A19,SUMIF(Netz!$C$5:$C$92,A19,Anlagen!$F$5:$F$92),"")</f>
        <v/>
      </c>
      <c r="E19" s="23" t="str">
        <f aca="false">IF(Netz!C19=A19,CEILING(D19/PG,1),"")</f>
        <v/>
      </c>
      <c r="F19" s="30" t="str">
        <f aca="false">IF(Netz!C19=A19,D19/(E19*PG),"")</f>
        <v/>
      </c>
      <c r="G19" s="23" t="str">
        <f aca="false">IF(Netz!C19=A19,Investition!E19+COUNTIF(Netz!$D$5:$D$92,A19),"")</f>
        <v/>
      </c>
      <c r="H19" s="23" t="str">
        <f aca="false">IF(Netz!C19=A19,CEILING((E19+G19)/Ports_Agg,1),"")</f>
        <v/>
      </c>
      <c r="I19" s="31" t="str">
        <f aca="false">IF(Netz!C19=A19,SUMIF(Netz!$C$5:$C$92,A19,Netz!$O$5:$O$92),"")</f>
        <v/>
      </c>
      <c r="J19" s="37" t="str">
        <f aca="false">IF(Netz!C19=A19,I19*Bandbreite/Ueberbuchung,"")</f>
        <v/>
      </c>
      <c r="K19" s="23" t="str">
        <f aca="false">IF(Netz!C19=A19,MAX(1,CEILING(J19/Uplink_Kap,1)),"")</f>
        <v/>
      </c>
      <c r="L19" s="38" t="str">
        <f aca="false">IF(Netz!C19=A19,E19*(P_UCG+P_DAC)*EK,"")</f>
        <v/>
      </c>
      <c r="M19" s="38" t="str">
        <f aca="false">IF(Netz!C19=A19,(P_KVz+P_USV+P_MontStandort+H19*P_Agg)*EK,"")</f>
        <v/>
      </c>
      <c r="N19" s="38" t="str">
        <f aca="false">IF(Netz!C19=A19,L19+M19,"")</f>
        <v/>
      </c>
      <c r="O19" s="38" t="str">
        <f aca="false">IF(Netz!C19=A19,(K19*Uplink_Monat*12+Strom_Standort+E19*Strom_GW)*EK+N19*Wartung,"")</f>
        <v/>
      </c>
      <c r="P19" s="23" t="str">
        <f aca="false">IF(Netz!C19=A19,IF(E19&gt;Max_GW,"Achtung: mehr als "&amp;Max_GW&amp;" Gateways",IF(K19&gt;1,"OK – "&amp;K19&amp;" Internet-Anschlüsse nötig","OK")),"")</f>
        <v/>
      </c>
    </row>
    <row r="20" customFormat="false" ht="15" hidden="false" customHeight="false" outlineLevel="0" collapsed="false">
      <c r="A20" s="23" t="n">
        <f aca="false">Anlagen!A20</f>
        <v>16</v>
      </c>
      <c r="B20" s="23" t="str">
        <f aca="false">IF(Netz!C20=A20,Anlagen!B20,"")</f>
        <v>Bergfrieden</v>
      </c>
      <c r="C20" s="23" t="n">
        <f aca="false">IF(Netz!C20=A20,COUNTIF(Netz!$C$5:$C$92,A20),"")</f>
        <v>2</v>
      </c>
      <c r="D20" s="23" t="n">
        <f aca="false">IF(Netz!C20=A20,SUMIF(Netz!$C$5:$C$92,A20,Anlagen!$F$5:$F$92),"")</f>
        <v>185</v>
      </c>
      <c r="E20" s="23" t="n">
        <f aca="false">IF(Netz!C20=A20,CEILING(D20/PG,1),"")</f>
        <v>4</v>
      </c>
      <c r="F20" s="30" t="n">
        <f aca="false">IF(Netz!C20=A20,D20/(E20*PG),"")</f>
        <v>0.840909090909091</v>
      </c>
      <c r="G20" s="23" t="n">
        <f aca="false">IF(Netz!C20=A20,Investition!E20+COUNTIF(Netz!$D$5:$D$92,A20),"")</f>
        <v>10</v>
      </c>
      <c r="H20" s="23" t="n">
        <f aca="false">IF(Netz!C20=A20,CEILING((E20+G20)/Ports_Agg,1),"")</f>
        <v>2</v>
      </c>
      <c r="I20" s="31" t="n">
        <f aca="false">IF(Netz!C20=A20,SUMIF(Netz!$C$5:$C$92,A20,Netz!$O$5:$O$92),"")</f>
        <v>85.3340050356408</v>
      </c>
      <c r="J20" s="37" t="n">
        <f aca="false">IF(Netz!C20=A20,I20*Bandbreite/Ueberbuchung,"")</f>
        <v>320.002518883653</v>
      </c>
      <c r="K20" s="23" t="n">
        <f aca="false">IF(Netz!C20=A20,MAX(1,CEILING(J20/Uplink_Kap,1)),"")</f>
        <v>1</v>
      </c>
      <c r="L20" s="38" t="n">
        <f aca="false">IF(Netz!C20=A20,E20*(P_UCG+P_DAC)*EK,"")</f>
        <v>1285.2</v>
      </c>
      <c r="M20" s="38" t="n">
        <f aca="false">IF(Netz!C20=A20,(P_KVz+P_USV+P_MontStandort+H20*P_Agg)*EK,"")</f>
        <v>3248.7</v>
      </c>
      <c r="N20" s="38" t="n">
        <f aca="false">IF(Netz!C20=A20,L20+M20,"")</f>
        <v>4533.9</v>
      </c>
      <c r="O20" s="38" t="n">
        <f aca="false">IF(Netz!C20=A20,(K20*Uplink_Monat*12+Strom_Standort+E20*Strom_GW)*EK+N20*Wartung,"")</f>
        <v>1421.217</v>
      </c>
      <c r="P20" s="23" t="str">
        <f aca="false">IF(Netz!C20=A20,IF(E20&gt;Max_GW,"Achtung: mehr als "&amp;Max_GW&amp;" Gateways",IF(K20&gt;1,"OK – "&amp;K20&amp;" Internet-Anschlüsse nötig","OK")),"")</f>
        <v>OK</v>
      </c>
    </row>
    <row r="21" customFormat="false" ht="15" hidden="false" customHeight="false" outlineLevel="0" collapsed="false">
      <c r="A21" s="23" t="n">
        <f aca="false">Anlagen!A21</f>
        <v>17</v>
      </c>
      <c r="B21" s="23" t="str">
        <f aca="false">IF(Netz!C21=A21,Anlagen!B21,"")</f>
        <v>Birkenwäldchen</v>
      </c>
      <c r="C21" s="23" t="n">
        <f aca="false">IF(Netz!C21=A21,COUNTIF(Netz!$C$5:$C$92,A21),"")</f>
        <v>11</v>
      </c>
      <c r="D21" s="23" t="n">
        <f aca="false">IF(Netz!C21=A21,SUMIF(Netz!$C$5:$C$92,A21,Anlagen!$F$5:$F$92),"")</f>
        <v>543</v>
      </c>
      <c r="E21" s="23" t="n">
        <f aca="false">IF(Netz!C21=A21,CEILING(D21/PG,1),"")</f>
        <v>10</v>
      </c>
      <c r="F21" s="30" t="n">
        <f aca="false">IF(Netz!C21=A21,D21/(E21*PG),"")</f>
        <v>0.987272727272727</v>
      </c>
      <c r="G21" s="23" t="n">
        <f aca="false">IF(Netz!C21=A21,Investition!E21+COUNTIF(Netz!$D$5:$D$92,A21),"")</f>
        <v>7</v>
      </c>
      <c r="H21" s="23" t="n">
        <f aca="false">IF(Netz!C21=A21,CEILING((E21+G21)/Ports_Agg,1),"")</f>
        <v>3</v>
      </c>
      <c r="I21" s="31" t="n">
        <f aca="false">IF(Netz!C21=A21,SUMIF(Netz!$C$5:$C$92,A21,Netz!$O$5:$O$92),"")</f>
        <v>303.961780361144</v>
      </c>
      <c r="J21" s="37" t="n">
        <f aca="false">IF(Netz!C21=A21,I21*Bandbreite/Ueberbuchung,"")</f>
        <v>1139.85667635429</v>
      </c>
      <c r="K21" s="23" t="n">
        <f aca="false">IF(Netz!C21=A21,MAX(1,CEILING(J21/Uplink_Kap,1)),"")</f>
        <v>2</v>
      </c>
      <c r="L21" s="38" t="n">
        <f aca="false">IF(Netz!C21=A21,E21*(P_UCG+P_DAC)*EK,"")</f>
        <v>3213</v>
      </c>
      <c r="M21" s="38" t="n">
        <f aca="false">IF(Netz!C21=A21,(P_KVz+P_USV+P_MontStandort+H21*P_Agg)*EK,"")</f>
        <v>3534.3</v>
      </c>
      <c r="N21" s="38" t="n">
        <f aca="false">IF(Netz!C21=A21,L21+M21,"")</f>
        <v>6747.3</v>
      </c>
      <c r="O21" s="38" t="n">
        <f aca="false">IF(Netz!C21=A21,(K21*Uplink_Monat*12+Strom_Standort+E21*Strom_GW)*EK+N21*Wartung,"")</f>
        <v>2737.119</v>
      </c>
      <c r="P21" s="23" t="str">
        <f aca="false">IF(Netz!C21=A21,IF(E21&gt;Max_GW,"Achtung: mehr als "&amp;Max_GW&amp;" Gateways",IF(K21&gt;1,"OK – "&amp;K21&amp;" Internet-Anschlüsse nötig","OK")),"")</f>
        <v>OK – 2 Internet-Anschlüsse nötig</v>
      </c>
    </row>
    <row r="22" customFormat="false" ht="15" hidden="false" customHeight="false" outlineLevel="0" collapsed="false">
      <c r="A22" s="23" t="n">
        <f aca="false">Anlagen!A22</f>
        <v>18</v>
      </c>
      <c r="B22" s="23" t="str">
        <f aca="false">IF(Netz!C22=A22,Anlagen!B22,"")</f>
        <v/>
      </c>
      <c r="C22" s="23" t="str">
        <f aca="false">IF(Netz!C22=A22,COUNTIF(Netz!$C$5:$C$92,A22),"")</f>
        <v/>
      </c>
      <c r="D22" s="23" t="str">
        <f aca="false">IF(Netz!C22=A22,SUMIF(Netz!$C$5:$C$92,A22,Anlagen!$F$5:$F$92),"")</f>
        <v/>
      </c>
      <c r="E22" s="23" t="str">
        <f aca="false">IF(Netz!C22=A22,CEILING(D22/PG,1),"")</f>
        <v/>
      </c>
      <c r="F22" s="30" t="str">
        <f aca="false">IF(Netz!C22=A22,D22/(E22*PG),"")</f>
        <v/>
      </c>
      <c r="G22" s="23" t="str">
        <f aca="false">IF(Netz!C22=A22,Investition!E22+COUNTIF(Netz!$D$5:$D$92,A22),"")</f>
        <v/>
      </c>
      <c r="H22" s="23" t="str">
        <f aca="false">IF(Netz!C22=A22,CEILING((E22+G22)/Ports_Agg,1),"")</f>
        <v/>
      </c>
      <c r="I22" s="31" t="str">
        <f aca="false">IF(Netz!C22=A22,SUMIF(Netz!$C$5:$C$92,A22,Netz!$O$5:$O$92),"")</f>
        <v/>
      </c>
      <c r="J22" s="37" t="str">
        <f aca="false">IF(Netz!C22=A22,I22*Bandbreite/Ueberbuchung,"")</f>
        <v/>
      </c>
      <c r="K22" s="23" t="str">
        <f aca="false">IF(Netz!C22=A22,MAX(1,CEILING(J22/Uplink_Kap,1)),"")</f>
        <v/>
      </c>
      <c r="L22" s="38" t="str">
        <f aca="false">IF(Netz!C22=A22,E22*(P_UCG+P_DAC)*EK,"")</f>
        <v/>
      </c>
      <c r="M22" s="38" t="str">
        <f aca="false">IF(Netz!C22=A22,(P_KVz+P_USV+P_MontStandort+H22*P_Agg)*EK,"")</f>
        <v/>
      </c>
      <c r="N22" s="38" t="str">
        <f aca="false">IF(Netz!C22=A22,L22+M22,"")</f>
        <v/>
      </c>
      <c r="O22" s="38" t="str">
        <f aca="false">IF(Netz!C22=A22,(K22*Uplink_Monat*12+Strom_Standort+E22*Strom_GW)*EK+N22*Wartung,"")</f>
        <v/>
      </c>
      <c r="P22" s="23" t="str">
        <f aca="false">IF(Netz!C22=A22,IF(E22&gt;Max_GW,"Achtung: mehr als "&amp;Max_GW&amp;" Gateways",IF(K22&gt;1,"OK – "&amp;K22&amp;" Internet-Anschlüsse nötig","OK")),"")</f>
        <v/>
      </c>
    </row>
    <row r="23" customFormat="false" ht="15" hidden="false" customHeight="false" outlineLevel="0" collapsed="false">
      <c r="A23" s="23" t="n">
        <f aca="false">Anlagen!A23</f>
        <v>19</v>
      </c>
      <c r="B23" s="23" t="str">
        <f aca="false">IF(Netz!C23=A23,Anlagen!B23,"")</f>
        <v/>
      </c>
      <c r="C23" s="23" t="str">
        <f aca="false">IF(Netz!C23=A23,COUNTIF(Netz!$C$5:$C$92,A23),"")</f>
        <v/>
      </c>
      <c r="D23" s="23" t="str">
        <f aca="false">IF(Netz!C23=A23,SUMIF(Netz!$C$5:$C$92,A23,Anlagen!$F$5:$F$92),"")</f>
        <v/>
      </c>
      <c r="E23" s="23" t="str">
        <f aca="false">IF(Netz!C23=A23,CEILING(D23/PG,1),"")</f>
        <v/>
      </c>
      <c r="F23" s="30" t="str">
        <f aca="false">IF(Netz!C23=A23,D23/(E23*PG),"")</f>
        <v/>
      </c>
      <c r="G23" s="23" t="str">
        <f aca="false">IF(Netz!C23=A23,Investition!E23+COUNTIF(Netz!$D$5:$D$92,A23),"")</f>
        <v/>
      </c>
      <c r="H23" s="23" t="str">
        <f aca="false">IF(Netz!C23=A23,CEILING((E23+G23)/Ports_Agg,1),"")</f>
        <v/>
      </c>
      <c r="I23" s="31" t="str">
        <f aca="false">IF(Netz!C23=A23,SUMIF(Netz!$C$5:$C$92,A23,Netz!$O$5:$O$92),"")</f>
        <v/>
      </c>
      <c r="J23" s="37" t="str">
        <f aca="false">IF(Netz!C23=A23,I23*Bandbreite/Ueberbuchung,"")</f>
        <v/>
      </c>
      <c r="K23" s="23" t="str">
        <f aca="false">IF(Netz!C23=A23,MAX(1,CEILING(J23/Uplink_Kap,1)),"")</f>
        <v/>
      </c>
      <c r="L23" s="38" t="str">
        <f aca="false">IF(Netz!C23=A23,E23*(P_UCG+P_DAC)*EK,"")</f>
        <v/>
      </c>
      <c r="M23" s="38" t="str">
        <f aca="false">IF(Netz!C23=A23,(P_KVz+P_USV+P_MontStandort+H23*P_Agg)*EK,"")</f>
        <v/>
      </c>
      <c r="N23" s="38" t="str">
        <f aca="false">IF(Netz!C23=A23,L23+M23,"")</f>
        <v/>
      </c>
      <c r="O23" s="38" t="str">
        <f aca="false">IF(Netz!C23=A23,(K23*Uplink_Monat*12+Strom_Standort+E23*Strom_GW)*EK+N23*Wartung,"")</f>
        <v/>
      </c>
      <c r="P23" s="23" t="str">
        <f aca="false">IF(Netz!C23=A23,IF(E23&gt;Max_GW,"Achtung: mehr als "&amp;Max_GW&amp;" Gateways",IF(K23&gt;1,"OK – "&amp;K23&amp;" Internet-Anschlüsse nötig","OK")),"")</f>
        <v/>
      </c>
    </row>
    <row r="24" customFormat="false" ht="15" hidden="false" customHeight="false" outlineLevel="0" collapsed="false">
      <c r="A24" s="23" t="n">
        <f aca="false">Anlagen!A24</f>
        <v>20</v>
      </c>
      <c r="B24" s="23" t="str">
        <f aca="false">IF(Netz!C24=A24,Anlagen!B24,"")</f>
        <v/>
      </c>
      <c r="C24" s="23" t="str">
        <f aca="false">IF(Netz!C24=A24,COUNTIF(Netz!$C$5:$C$92,A24),"")</f>
        <v/>
      </c>
      <c r="D24" s="23" t="str">
        <f aca="false">IF(Netz!C24=A24,SUMIF(Netz!$C$5:$C$92,A24,Anlagen!$F$5:$F$92),"")</f>
        <v/>
      </c>
      <c r="E24" s="23" t="str">
        <f aca="false">IF(Netz!C24=A24,CEILING(D24/PG,1),"")</f>
        <v/>
      </c>
      <c r="F24" s="30" t="str">
        <f aca="false">IF(Netz!C24=A24,D24/(E24*PG),"")</f>
        <v/>
      </c>
      <c r="G24" s="23" t="str">
        <f aca="false">IF(Netz!C24=A24,Investition!E24+COUNTIF(Netz!$D$5:$D$92,A24),"")</f>
        <v/>
      </c>
      <c r="H24" s="23" t="str">
        <f aca="false">IF(Netz!C24=A24,CEILING((E24+G24)/Ports_Agg,1),"")</f>
        <v/>
      </c>
      <c r="I24" s="31" t="str">
        <f aca="false">IF(Netz!C24=A24,SUMIF(Netz!$C$5:$C$92,A24,Netz!$O$5:$O$92),"")</f>
        <v/>
      </c>
      <c r="J24" s="37" t="str">
        <f aca="false">IF(Netz!C24=A24,I24*Bandbreite/Ueberbuchung,"")</f>
        <v/>
      </c>
      <c r="K24" s="23" t="str">
        <f aca="false">IF(Netz!C24=A24,MAX(1,CEILING(J24/Uplink_Kap,1)),"")</f>
        <v/>
      </c>
      <c r="L24" s="38" t="str">
        <f aca="false">IF(Netz!C24=A24,E24*(P_UCG+P_DAC)*EK,"")</f>
        <v/>
      </c>
      <c r="M24" s="38" t="str">
        <f aca="false">IF(Netz!C24=A24,(P_KVz+P_USV+P_MontStandort+H24*P_Agg)*EK,"")</f>
        <v/>
      </c>
      <c r="N24" s="38" t="str">
        <f aca="false">IF(Netz!C24=A24,L24+M24,"")</f>
        <v/>
      </c>
      <c r="O24" s="38" t="str">
        <f aca="false">IF(Netz!C24=A24,(K24*Uplink_Monat*12+Strom_Standort+E24*Strom_GW)*EK+N24*Wartung,"")</f>
        <v/>
      </c>
      <c r="P24" s="23" t="str">
        <f aca="false">IF(Netz!C24=A24,IF(E24&gt;Max_GW,"Achtung: mehr als "&amp;Max_GW&amp;" Gateways",IF(K24&gt;1,"OK – "&amp;K24&amp;" Internet-Anschlüsse nötig","OK")),"")</f>
        <v/>
      </c>
    </row>
    <row r="25" customFormat="false" ht="15" hidden="false" customHeight="false" outlineLevel="0" collapsed="false">
      <c r="A25" s="23" t="n">
        <f aca="false">Anlagen!A25</f>
        <v>21</v>
      </c>
      <c r="B25" s="23" t="str">
        <f aca="false">IF(Netz!C25=A25,Anlagen!B25,"")</f>
        <v/>
      </c>
      <c r="C25" s="23" t="str">
        <f aca="false">IF(Netz!C25=A25,COUNTIF(Netz!$C$5:$C$92,A25),"")</f>
        <v/>
      </c>
      <c r="D25" s="23" t="str">
        <f aca="false">IF(Netz!C25=A25,SUMIF(Netz!$C$5:$C$92,A25,Anlagen!$F$5:$F$92),"")</f>
        <v/>
      </c>
      <c r="E25" s="23" t="str">
        <f aca="false">IF(Netz!C25=A25,CEILING(D25/PG,1),"")</f>
        <v/>
      </c>
      <c r="F25" s="30" t="str">
        <f aca="false">IF(Netz!C25=A25,D25/(E25*PG),"")</f>
        <v/>
      </c>
      <c r="G25" s="23" t="str">
        <f aca="false">IF(Netz!C25=A25,Investition!E25+COUNTIF(Netz!$D$5:$D$92,A25),"")</f>
        <v/>
      </c>
      <c r="H25" s="23" t="str">
        <f aca="false">IF(Netz!C25=A25,CEILING((E25+G25)/Ports_Agg,1),"")</f>
        <v/>
      </c>
      <c r="I25" s="31" t="str">
        <f aca="false">IF(Netz!C25=A25,SUMIF(Netz!$C$5:$C$92,A25,Netz!$O$5:$O$92),"")</f>
        <v/>
      </c>
      <c r="J25" s="37" t="str">
        <f aca="false">IF(Netz!C25=A25,I25*Bandbreite/Ueberbuchung,"")</f>
        <v/>
      </c>
      <c r="K25" s="23" t="str">
        <f aca="false">IF(Netz!C25=A25,MAX(1,CEILING(J25/Uplink_Kap,1)),"")</f>
        <v/>
      </c>
      <c r="L25" s="38" t="str">
        <f aca="false">IF(Netz!C25=A25,E25*(P_UCG+P_DAC)*EK,"")</f>
        <v/>
      </c>
      <c r="M25" s="38" t="str">
        <f aca="false">IF(Netz!C25=A25,(P_KVz+P_USV+P_MontStandort+H25*P_Agg)*EK,"")</f>
        <v/>
      </c>
      <c r="N25" s="38" t="str">
        <f aca="false">IF(Netz!C25=A25,L25+M25,"")</f>
        <v/>
      </c>
      <c r="O25" s="38" t="str">
        <f aca="false">IF(Netz!C25=A25,(K25*Uplink_Monat*12+Strom_Standort+E25*Strom_GW)*EK+N25*Wartung,"")</f>
        <v/>
      </c>
      <c r="P25" s="23" t="str">
        <f aca="false">IF(Netz!C25=A25,IF(E25&gt;Max_GW,"Achtung: mehr als "&amp;Max_GW&amp;" Gateways",IF(K25&gt;1,"OK – "&amp;K25&amp;" Internet-Anschlüsse nötig","OK")),"")</f>
        <v/>
      </c>
    </row>
    <row r="26" customFormat="false" ht="15" hidden="false" customHeight="false" outlineLevel="0" collapsed="false">
      <c r="A26" s="23" t="n">
        <f aca="false">Anlagen!A26</f>
        <v>22</v>
      </c>
      <c r="B26" s="23" t="str">
        <f aca="false">IF(Netz!C26=A26,Anlagen!B26,"")</f>
        <v>Eichhorstweg</v>
      </c>
      <c r="C26" s="23" t="n">
        <f aca="false">IF(Netz!C26=A26,COUNTIF(Netz!$C$5:$C$92,A26),"")</f>
        <v>2</v>
      </c>
      <c r="D26" s="23" t="n">
        <f aca="false">IF(Netz!C26=A26,SUMIF(Netz!$C$5:$C$92,A26,Anlagen!$F$5:$F$92),"")</f>
        <v>74</v>
      </c>
      <c r="E26" s="23" t="n">
        <f aca="false">IF(Netz!C26=A26,CEILING(D26/PG,1),"")</f>
        <v>2</v>
      </c>
      <c r="F26" s="30" t="n">
        <f aca="false">IF(Netz!C26=A26,D26/(E26*PG),"")</f>
        <v>0.672727272727273</v>
      </c>
      <c r="G26" s="23" t="n">
        <f aca="false">IF(Netz!C26=A26,Investition!E26+COUNTIF(Netz!$D$5:$D$92,A26),"")</f>
        <v>4</v>
      </c>
      <c r="H26" s="23" t="n">
        <f aca="false">IF(Netz!C26=A26,CEILING((E26+G26)/Ports_Agg,1),"")</f>
        <v>1</v>
      </c>
      <c r="I26" s="31" t="n">
        <f aca="false">IF(Netz!C26=A26,SUMIF(Netz!$C$5:$C$92,A26,Netz!$O$5:$O$92),"")</f>
        <v>39.0532919054968</v>
      </c>
      <c r="J26" s="37" t="n">
        <f aca="false">IF(Netz!C26=A26,I26*Bandbreite/Ueberbuchung,"")</f>
        <v>146.449844645613</v>
      </c>
      <c r="K26" s="23" t="n">
        <f aca="false">IF(Netz!C26=A26,MAX(1,CEILING(J26/Uplink_Kap,1)),"")</f>
        <v>1</v>
      </c>
      <c r="L26" s="38" t="n">
        <f aca="false">IF(Netz!C26=A26,E26*(P_UCG+P_DAC)*EK,"")</f>
        <v>642.6</v>
      </c>
      <c r="M26" s="38" t="n">
        <f aca="false">IF(Netz!C26=A26,(P_KVz+P_USV+P_MontStandort+H26*P_Agg)*EK,"")</f>
        <v>2963.1</v>
      </c>
      <c r="N26" s="38" t="n">
        <f aca="false">IF(Netz!C26=A26,L26+M26,"")</f>
        <v>3605.7</v>
      </c>
      <c r="O26" s="38" t="n">
        <f aca="false">IF(Netz!C26=A26,(K26*Uplink_Monat*12+Strom_Standort+E26*Strom_GW)*EK+N26*Wartung,"")</f>
        <v>1333.871</v>
      </c>
      <c r="P26" s="23" t="str">
        <f aca="false">IF(Netz!C26=A26,IF(E26&gt;Max_GW,"Achtung: mehr als "&amp;Max_GW&amp;" Gateways",IF(K26&gt;1,"OK – "&amp;K26&amp;" Internet-Anschlüsse nötig","OK")),"")</f>
        <v>OK</v>
      </c>
    </row>
    <row r="27" customFormat="false" ht="15" hidden="false" customHeight="false" outlineLevel="0" collapsed="false">
      <c r="A27" s="23" t="n">
        <f aca="false">Anlagen!A27</f>
        <v>23</v>
      </c>
      <c r="B27" s="23" t="str">
        <f aca="false">IF(Netz!C27=A27,Anlagen!B27,"")</f>
        <v>Eigener Fleiß</v>
      </c>
      <c r="C27" s="23" t="n">
        <f aca="false">IF(Netz!C27=A27,COUNTIF(Netz!$C$5:$C$92,A27),"")</f>
        <v>9</v>
      </c>
      <c r="D27" s="23" t="n">
        <f aca="false">IF(Netz!C27=A27,SUMIF(Netz!$C$5:$C$92,A27,Anlagen!$F$5:$F$92),"")</f>
        <v>546</v>
      </c>
      <c r="E27" s="23" t="n">
        <f aca="false">IF(Netz!C27=A27,CEILING(D27/PG,1),"")</f>
        <v>10</v>
      </c>
      <c r="F27" s="30" t="n">
        <f aca="false">IF(Netz!C27=A27,D27/(E27*PG),"")</f>
        <v>0.992727272727273</v>
      </c>
      <c r="G27" s="23" t="n">
        <f aca="false">IF(Netz!C27=A27,Investition!E27+COUNTIF(Netz!$D$5:$D$92,A27),"")</f>
        <v>9</v>
      </c>
      <c r="H27" s="23" t="n">
        <f aca="false">IF(Netz!C27=A27,CEILING((E27+G27)/Ports_Agg,1),"")</f>
        <v>3</v>
      </c>
      <c r="I27" s="31" t="n">
        <f aca="false">IF(Netz!C27=A27,SUMIF(Netz!$C$5:$C$92,A27,Netz!$O$5:$O$92),"")</f>
        <v>308.580090646779</v>
      </c>
      <c r="J27" s="37" t="n">
        <f aca="false">IF(Netz!C27=A27,I27*Bandbreite/Ueberbuchung,"")</f>
        <v>1157.17533992542</v>
      </c>
      <c r="K27" s="23" t="n">
        <f aca="false">IF(Netz!C27=A27,MAX(1,CEILING(J27/Uplink_Kap,1)),"")</f>
        <v>2</v>
      </c>
      <c r="L27" s="38" t="n">
        <f aca="false">IF(Netz!C27=A27,E27*(P_UCG+P_DAC)*EK,"")</f>
        <v>3213</v>
      </c>
      <c r="M27" s="38" t="n">
        <f aca="false">IF(Netz!C27=A27,(P_KVz+P_USV+P_MontStandort+H27*P_Agg)*EK,"")</f>
        <v>3534.3</v>
      </c>
      <c r="N27" s="38" t="n">
        <f aca="false">IF(Netz!C27=A27,L27+M27,"")</f>
        <v>6747.3</v>
      </c>
      <c r="O27" s="38" t="n">
        <f aca="false">IF(Netz!C27=A27,(K27*Uplink_Monat*12+Strom_Standort+E27*Strom_GW)*EK+N27*Wartung,"")</f>
        <v>2737.119</v>
      </c>
      <c r="P27" s="23" t="str">
        <f aca="false">IF(Netz!C27=A27,IF(E27&gt;Max_GW,"Achtung: mehr als "&amp;Max_GW&amp;" Gateways",IF(K27&gt;1,"OK – "&amp;K27&amp;" Internet-Anschlüsse nötig","OK")),"")</f>
        <v>OK – 2 Internet-Anschlüsse nötig</v>
      </c>
    </row>
    <row r="28" customFormat="false" ht="15" hidden="false" customHeight="false" outlineLevel="0" collapsed="false">
      <c r="A28" s="23" t="n">
        <f aca="false">Anlagen!A28</f>
        <v>24</v>
      </c>
      <c r="B28" s="23" t="str">
        <f aca="false">IF(Netz!C28=A28,Anlagen!B28,"")</f>
        <v/>
      </c>
      <c r="C28" s="23" t="str">
        <f aca="false">IF(Netz!C28=A28,COUNTIF(Netz!$C$5:$C$92,A28),"")</f>
        <v/>
      </c>
      <c r="D28" s="23" t="str">
        <f aca="false">IF(Netz!C28=A28,SUMIF(Netz!$C$5:$C$92,A28,Anlagen!$F$5:$F$92),"")</f>
        <v/>
      </c>
      <c r="E28" s="23" t="str">
        <f aca="false">IF(Netz!C28=A28,CEILING(D28/PG,1),"")</f>
        <v/>
      </c>
      <c r="F28" s="30" t="str">
        <f aca="false">IF(Netz!C28=A28,D28/(E28*PG),"")</f>
        <v/>
      </c>
      <c r="G28" s="23" t="str">
        <f aca="false">IF(Netz!C28=A28,Investition!E28+COUNTIF(Netz!$D$5:$D$92,A28),"")</f>
        <v/>
      </c>
      <c r="H28" s="23" t="str">
        <f aca="false">IF(Netz!C28=A28,CEILING((E28+G28)/Ports_Agg,1),"")</f>
        <v/>
      </c>
      <c r="I28" s="31" t="str">
        <f aca="false">IF(Netz!C28=A28,SUMIF(Netz!$C$5:$C$92,A28,Netz!$O$5:$O$92),"")</f>
        <v/>
      </c>
      <c r="J28" s="37" t="str">
        <f aca="false">IF(Netz!C28=A28,I28*Bandbreite/Ueberbuchung,"")</f>
        <v/>
      </c>
      <c r="K28" s="23" t="str">
        <f aca="false">IF(Netz!C28=A28,MAX(1,CEILING(J28/Uplink_Kap,1)),"")</f>
        <v/>
      </c>
      <c r="L28" s="38" t="str">
        <f aca="false">IF(Netz!C28=A28,E28*(P_UCG+P_DAC)*EK,"")</f>
        <v/>
      </c>
      <c r="M28" s="38" t="str">
        <f aca="false">IF(Netz!C28=A28,(P_KVz+P_USV+P_MontStandort+H28*P_Agg)*EK,"")</f>
        <v/>
      </c>
      <c r="N28" s="38" t="str">
        <f aca="false">IF(Netz!C28=A28,L28+M28,"")</f>
        <v/>
      </c>
      <c r="O28" s="38" t="str">
        <f aca="false">IF(Netz!C28=A28,(K28*Uplink_Monat*12+Strom_Standort+E28*Strom_GW)*EK+N28*Wartung,"")</f>
        <v/>
      </c>
      <c r="P28" s="23" t="str">
        <f aca="false">IF(Netz!C28=A28,IF(E28&gt;Max_GW,"Achtung: mehr als "&amp;Max_GW&amp;" Gateways",IF(K28&gt;1,"OK – "&amp;K28&amp;" Internet-Anschlüsse nötig","OK")),"")</f>
        <v/>
      </c>
    </row>
    <row r="29" customFormat="false" ht="15" hidden="false" customHeight="false" outlineLevel="0" collapsed="false">
      <c r="A29" s="23" t="n">
        <f aca="false">Anlagen!A29</f>
        <v>25</v>
      </c>
      <c r="B29" s="23" t="str">
        <f aca="false">IF(Netz!C29=A29,Anlagen!B29,"")</f>
        <v/>
      </c>
      <c r="C29" s="23" t="str">
        <f aca="false">IF(Netz!C29=A29,COUNTIF(Netz!$C$5:$C$92,A29),"")</f>
        <v/>
      </c>
      <c r="D29" s="23" t="str">
        <f aca="false">IF(Netz!C29=A29,SUMIF(Netz!$C$5:$C$92,A29,Anlagen!$F$5:$F$92),"")</f>
        <v/>
      </c>
      <c r="E29" s="23" t="str">
        <f aca="false">IF(Netz!C29=A29,CEILING(D29/PG,1),"")</f>
        <v/>
      </c>
      <c r="F29" s="30" t="str">
        <f aca="false">IF(Netz!C29=A29,D29/(E29*PG),"")</f>
        <v/>
      </c>
      <c r="G29" s="23" t="str">
        <f aca="false">IF(Netz!C29=A29,Investition!E29+COUNTIF(Netz!$D$5:$D$92,A29),"")</f>
        <v/>
      </c>
      <c r="H29" s="23" t="str">
        <f aca="false">IF(Netz!C29=A29,CEILING((E29+G29)/Ports_Agg,1),"")</f>
        <v/>
      </c>
      <c r="I29" s="31" t="str">
        <f aca="false">IF(Netz!C29=A29,SUMIF(Netz!$C$5:$C$92,A29,Netz!$O$5:$O$92),"")</f>
        <v/>
      </c>
      <c r="J29" s="37" t="str">
        <f aca="false">IF(Netz!C29=A29,I29*Bandbreite/Ueberbuchung,"")</f>
        <v/>
      </c>
      <c r="K29" s="23" t="str">
        <f aca="false">IF(Netz!C29=A29,MAX(1,CEILING(J29/Uplink_Kap,1)),"")</f>
        <v/>
      </c>
      <c r="L29" s="38" t="str">
        <f aca="false">IF(Netz!C29=A29,E29*(P_UCG+P_DAC)*EK,"")</f>
        <v/>
      </c>
      <c r="M29" s="38" t="str">
        <f aca="false">IF(Netz!C29=A29,(P_KVz+P_USV+P_MontStandort+H29*P_Agg)*EK,"")</f>
        <v/>
      </c>
      <c r="N29" s="38" t="str">
        <f aca="false">IF(Netz!C29=A29,L29+M29,"")</f>
        <v/>
      </c>
      <c r="O29" s="38" t="str">
        <f aca="false">IF(Netz!C29=A29,(K29*Uplink_Monat*12+Strom_Standort+E29*Strom_GW)*EK+N29*Wartung,"")</f>
        <v/>
      </c>
      <c r="P29" s="23" t="str">
        <f aca="false">IF(Netz!C29=A29,IF(E29&gt;Max_GW,"Achtung: mehr als "&amp;Max_GW&amp;" Gateways",IF(K29&gt;1,"OK – "&amp;K29&amp;" Internet-Anschlüsse nötig","OK")),"")</f>
        <v/>
      </c>
    </row>
    <row r="30" customFormat="false" ht="15" hidden="false" customHeight="false" outlineLevel="0" collapsed="false">
      <c r="A30" s="23" t="n">
        <f aca="false">Anlagen!A30</f>
        <v>26</v>
      </c>
      <c r="B30" s="23" t="str">
        <f aca="false">IF(Netz!C30=A30,Anlagen!B30,"")</f>
        <v/>
      </c>
      <c r="C30" s="23" t="str">
        <f aca="false">IF(Netz!C30=A30,COUNTIF(Netz!$C$5:$C$92,A30),"")</f>
        <v/>
      </c>
      <c r="D30" s="23" t="str">
        <f aca="false">IF(Netz!C30=A30,SUMIF(Netz!$C$5:$C$92,A30,Anlagen!$F$5:$F$92),"")</f>
        <v/>
      </c>
      <c r="E30" s="23" t="str">
        <f aca="false">IF(Netz!C30=A30,CEILING(D30/PG,1),"")</f>
        <v/>
      </c>
      <c r="F30" s="30" t="str">
        <f aca="false">IF(Netz!C30=A30,D30/(E30*PG),"")</f>
        <v/>
      </c>
      <c r="G30" s="23" t="str">
        <f aca="false">IF(Netz!C30=A30,Investition!E30+COUNTIF(Netz!$D$5:$D$92,A30),"")</f>
        <v/>
      </c>
      <c r="H30" s="23" t="str">
        <f aca="false">IF(Netz!C30=A30,CEILING((E30+G30)/Ports_Agg,1),"")</f>
        <v/>
      </c>
      <c r="I30" s="31" t="str">
        <f aca="false">IF(Netz!C30=A30,SUMIF(Netz!$C$5:$C$92,A30,Netz!$O$5:$O$92),"")</f>
        <v/>
      </c>
      <c r="J30" s="37" t="str">
        <f aca="false">IF(Netz!C30=A30,I30*Bandbreite/Ueberbuchung,"")</f>
        <v/>
      </c>
      <c r="K30" s="23" t="str">
        <f aca="false">IF(Netz!C30=A30,MAX(1,CEILING(J30/Uplink_Kap,1)),"")</f>
        <v/>
      </c>
      <c r="L30" s="38" t="str">
        <f aca="false">IF(Netz!C30=A30,E30*(P_UCG+P_DAC)*EK,"")</f>
        <v/>
      </c>
      <c r="M30" s="38" t="str">
        <f aca="false">IF(Netz!C30=A30,(P_KVz+P_USV+P_MontStandort+H30*P_Agg)*EK,"")</f>
        <v/>
      </c>
      <c r="N30" s="38" t="str">
        <f aca="false">IF(Netz!C30=A30,L30+M30,"")</f>
        <v/>
      </c>
      <c r="O30" s="38" t="str">
        <f aca="false">IF(Netz!C30=A30,(K30*Uplink_Monat*12+Strom_Standort+E30*Strom_GW)*EK+N30*Wartung,"")</f>
        <v/>
      </c>
      <c r="P30" s="23" t="str">
        <f aca="false">IF(Netz!C30=A30,IF(E30&gt;Max_GW,"Achtung: mehr als "&amp;Max_GW&amp;" Gateways",IF(K30&gt;1,"OK – "&amp;K30&amp;" Internet-Anschlüsse nötig","OK")),"")</f>
        <v/>
      </c>
    </row>
    <row r="31" customFormat="false" ht="15" hidden="false" customHeight="false" outlineLevel="0" collapsed="false">
      <c r="A31" s="23" t="n">
        <f aca="false">Anlagen!A31</f>
        <v>27</v>
      </c>
      <c r="B31" s="23" t="str">
        <f aca="false">IF(Netz!C31=A31,Anlagen!B31,"")</f>
        <v/>
      </c>
      <c r="C31" s="23" t="str">
        <f aca="false">IF(Netz!C31=A31,COUNTIF(Netz!$C$5:$C$92,A31),"")</f>
        <v/>
      </c>
      <c r="D31" s="23" t="str">
        <f aca="false">IF(Netz!C31=A31,SUMIF(Netz!$C$5:$C$92,A31,Anlagen!$F$5:$F$92),"")</f>
        <v/>
      </c>
      <c r="E31" s="23" t="str">
        <f aca="false">IF(Netz!C31=A31,CEILING(D31/PG,1),"")</f>
        <v/>
      </c>
      <c r="F31" s="30" t="str">
        <f aca="false">IF(Netz!C31=A31,D31/(E31*PG),"")</f>
        <v/>
      </c>
      <c r="G31" s="23" t="str">
        <f aca="false">IF(Netz!C31=A31,Investition!E31+COUNTIF(Netz!$D$5:$D$92,A31),"")</f>
        <v/>
      </c>
      <c r="H31" s="23" t="str">
        <f aca="false">IF(Netz!C31=A31,CEILING((E31+G31)/Ports_Agg,1),"")</f>
        <v/>
      </c>
      <c r="I31" s="31" t="str">
        <f aca="false">IF(Netz!C31=A31,SUMIF(Netz!$C$5:$C$92,A31,Netz!$O$5:$O$92),"")</f>
        <v/>
      </c>
      <c r="J31" s="37" t="str">
        <f aca="false">IF(Netz!C31=A31,I31*Bandbreite/Ueberbuchung,"")</f>
        <v/>
      </c>
      <c r="K31" s="23" t="str">
        <f aca="false">IF(Netz!C31=A31,MAX(1,CEILING(J31/Uplink_Kap,1)),"")</f>
        <v/>
      </c>
      <c r="L31" s="38" t="str">
        <f aca="false">IF(Netz!C31=A31,E31*(P_UCG+P_DAC)*EK,"")</f>
        <v/>
      </c>
      <c r="M31" s="38" t="str">
        <f aca="false">IF(Netz!C31=A31,(P_KVz+P_USV+P_MontStandort+H31*P_Agg)*EK,"")</f>
        <v/>
      </c>
      <c r="N31" s="38" t="str">
        <f aca="false">IF(Netz!C31=A31,L31+M31,"")</f>
        <v/>
      </c>
      <c r="O31" s="38" t="str">
        <f aca="false">IF(Netz!C31=A31,(K31*Uplink_Monat*12+Strom_Standort+E31*Strom_GW)*EK+N31*Wartung,"")</f>
        <v/>
      </c>
      <c r="P31" s="23" t="str">
        <f aca="false">IF(Netz!C31=A31,IF(E31&gt;Max_GW,"Achtung: mehr als "&amp;Max_GW&amp;" Gateways",IF(K31&gt;1,"OK – "&amp;K31&amp;" Internet-Anschlüsse nötig","OK")),"")</f>
        <v/>
      </c>
    </row>
    <row r="32" customFormat="false" ht="15" hidden="false" customHeight="false" outlineLevel="0" collapsed="false">
      <c r="A32" s="23" t="n">
        <f aca="false">Anlagen!A32</f>
        <v>28</v>
      </c>
      <c r="B32" s="23" t="str">
        <f aca="false">IF(Netz!C32=A32,Anlagen!B32,"")</f>
        <v>Erdenglück</v>
      </c>
      <c r="C32" s="23" t="n">
        <f aca="false">IF(Netz!C32=A32,COUNTIF(Netz!$C$5:$C$92,A32),"")</f>
        <v>9</v>
      </c>
      <c r="D32" s="23" t="n">
        <f aca="false">IF(Netz!C32=A32,SUMIF(Netz!$C$5:$C$92,A32,Anlagen!$F$5:$F$92),"")</f>
        <v>473</v>
      </c>
      <c r="E32" s="23" t="n">
        <f aca="false">IF(Netz!C32=A32,CEILING(D32/PG,1),"")</f>
        <v>9</v>
      </c>
      <c r="F32" s="30" t="n">
        <f aca="false">IF(Netz!C32=A32,D32/(E32*PG),"")</f>
        <v>0.955555555555556</v>
      </c>
      <c r="G32" s="23" t="n">
        <f aca="false">IF(Netz!C32=A32,Investition!E32+COUNTIF(Netz!$D$5:$D$92,A32),"")</f>
        <v>8</v>
      </c>
      <c r="H32" s="23" t="n">
        <f aca="false">IF(Netz!C32=A32,CEILING((E32+G32)/Ports_Agg,1),"")</f>
        <v>3</v>
      </c>
      <c r="I32" s="31" t="n">
        <f aca="false">IF(Netz!C32=A32,SUMIF(Netz!$C$5:$C$92,A32,Netz!$O$5:$O$92),"")</f>
        <v>283.958783113888</v>
      </c>
      <c r="J32" s="37" t="n">
        <f aca="false">IF(Netz!C32=A32,I32*Bandbreite/Ueberbuchung,"")</f>
        <v>1064.84543667708</v>
      </c>
      <c r="K32" s="23" t="n">
        <f aca="false">IF(Netz!C32=A32,MAX(1,CEILING(J32/Uplink_Kap,1)),"")</f>
        <v>2</v>
      </c>
      <c r="L32" s="38" t="n">
        <f aca="false">IF(Netz!C32=A32,E32*(P_UCG+P_DAC)*EK,"")</f>
        <v>2891.7</v>
      </c>
      <c r="M32" s="38" t="n">
        <f aca="false">IF(Netz!C32=A32,(P_KVz+P_USV+P_MontStandort+H32*P_Agg)*EK,"")</f>
        <v>3534.3</v>
      </c>
      <c r="N32" s="38" t="n">
        <f aca="false">IF(Netz!C32=A32,L32+M32,"")</f>
        <v>6426</v>
      </c>
      <c r="O32" s="38" t="n">
        <f aca="false">IF(Netz!C32=A32,(K32*Uplink_Monat*12+Strom_Standort+E32*Strom_GW)*EK+N32*Wartung,"")</f>
        <v>2697.73</v>
      </c>
      <c r="P32" s="23" t="str">
        <f aca="false">IF(Netz!C32=A32,IF(E32&gt;Max_GW,"Achtung: mehr als "&amp;Max_GW&amp;" Gateways",IF(K32&gt;1,"OK – "&amp;K32&amp;" Internet-Anschlüsse nötig","OK")),"")</f>
        <v>OK – 2 Internet-Anschlüsse nötig</v>
      </c>
    </row>
    <row r="33" customFormat="false" ht="15" hidden="false" customHeight="false" outlineLevel="0" collapsed="false">
      <c r="A33" s="23" t="n">
        <f aca="false">Anlagen!A33</f>
        <v>29</v>
      </c>
      <c r="B33" s="23" t="str">
        <f aca="false">IF(Netz!C33=A33,Anlagen!B33,"")</f>
        <v/>
      </c>
      <c r="C33" s="23" t="str">
        <f aca="false">IF(Netz!C33=A33,COUNTIF(Netz!$C$5:$C$92,A33),"")</f>
        <v/>
      </c>
      <c r="D33" s="23" t="str">
        <f aca="false">IF(Netz!C33=A33,SUMIF(Netz!$C$5:$C$92,A33,Anlagen!$F$5:$F$92),"")</f>
        <v/>
      </c>
      <c r="E33" s="23" t="str">
        <f aca="false">IF(Netz!C33=A33,CEILING(D33/PG,1),"")</f>
        <v/>
      </c>
      <c r="F33" s="30" t="str">
        <f aca="false">IF(Netz!C33=A33,D33/(E33*PG),"")</f>
        <v/>
      </c>
      <c r="G33" s="23" t="str">
        <f aca="false">IF(Netz!C33=A33,Investition!E33+COUNTIF(Netz!$D$5:$D$92,A33),"")</f>
        <v/>
      </c>
      <c r="H33" s="23" t="str">
        <f aca="false">IF(Netz!C33=A33,CEILING((E33+G33)/Ports_Agg,1),"")</f>
        <v/>
      </c>
      <c r="I33" s="31" t="str">
        <f aca="false">IF(Netz!C33=A33,SUMIF(Netz!$C$5:$C$92,A33,Netz!$O$5:$O$92),"")</f>
        <v/>
      </c>
      <c r="J33" s="37" t="str">
        <f aca="false">IF(Netz!C33=A33,I33*Bandbreite/Ueberbuchung,"")</f>
        <v/>
      </c>
      <c r="K33" s="23" t="str">
        <f aca="false">IF(Netz!C33=A33,MAX(1,CEILING(J33/Uplink_Kap,1)),"")</f>
        <v/>
      </c>
      <c r="L33" s="38" t="str">
        <f aca="false">IF(Netz!C33=A33,E33*(P_UCG+P_DAC)*EK,"")</f>
        <v/>
      </c>
      <c r="M33" s="38" t="str">
        <f aca="false">IF(Netz!C33=A33,(P_KVz+P_USV+P_MontStandort+H33*P_Agg)*EK,"")</f>
        <v/>
      </c>
      <c r="N33" s="38" t="str">
        <f aca="false">IF(Netz!C33=A33,L33+M33,"")</f>
        <v/>
      </c>
      <c r="O33" s="38" t="str">
        <f aca="false">IF(Netz!C33=A33,(K33*Uplink_Monat*12+Strom_Standort+E33*Strom_GW)*EK+N33*Wartung,"")</f>
        <v/>
      </c>
      <c r="P33" s="23" t="str">
        <f aca="false">IF(Netz!C33=A33,IF(E33&gt;Max_GW,"Achtung: mehr als "&amp;Max_GW&amp;" Gateways",IF(K33&gt;1,"OK – "&amp;K33&amp;" Internet-Anschlüsse nötig","OK")),"")</f>
        <v/>
      </c>
    </row>
    <row r="34" customFormat="false" ht="15" hidden="false" customHeight="false" outlineLevel="0" collapsed="false">
      <c r="A34" s="23" t="n">
        <f aca="false">Anlagen!A34</f>
        <v>30</v>
      </c>
      <c r="B34" s="23" t="str">
        <f aca="false">IF(Netz!C34=A34,Anlagen!B34,"")</f>
        <v>Feierabend</v>
      </c>
      <c r="C34" s="23" t="n">
        <f aca="false">IF(Netz!C34=A34,COUNTIF(Netz!$C$5:$C$92,A34),"")</f>
        <v>5</v>
      </c>
      <c r="D34" s="23" t="n">
        <f aca="false">IF(Netz!C34=A34,SUMIF(Netz!$C$5:$C$92,A34,Anlagen!$F$5:$F$92),"")</f>
        <v>546</v>
      </c>
      <c r="E34" s="23" t="n">
        <f aca="false">IF(Netz!C34=A34,CEILING(D34/PG,1),"")</f>
        <v>10</v>
      </c>
      <c r="F34" s="30" t="n">
        <f aca="false">IF(Netz!C34=A34,D34/(E34*PG),"")</f>
        <v>0.992727272727273</v>
      </c>
      <c r="G34" s="23" t="n">
        <f aca="false">IF(Netz!C34=A34,Investition!E34+COUNTIF(Netz!$D$5:$D$92,A34),"")</f>
        <v>15</v>
      </c>
      <c r="H34" s="23" t="n">
        <f aca="false">IF(Netz!C34=A34,CEILING((E34+G34)/Ports_Agg,1),"")</f>
        <v>4</v>
      </c>
      <c r="I34" s="31" t="n">
        <f aca="false">IF(Netz!C34=A34,SUMIF(Netz!$C$5:$C$92,A34,Netz!$O$5:$O$92),"")</f>
        <v>287.618196979613</v>
      </c>
      <c r="J34" s="37" t="n">
        <f aca="false">IF(Netz!C34=A34,I34*Bandbreite/Ueberbuchung,"")</f>
        <v>1078.56823867355</v>
      </c>
      <c r="K34" s="23" t="n">
        <f aca="false">IF(Netz!C34=A34,MAX(1,CEILING(J34/Uplink_Kap,1)),"")</f>
        <v>2</v>
      </c>
      <c r="L34" s="38" t="n">
        <f aca="false">IF(Netz!C34=A34,E34*(P_UCG+P_DAC)*EK,"")</f>
        <v>3213</v>
      </c>
      <c r="M34" s="38" t="n">
        <f aca="false">IF(Netz!C34=A34,(P_KVz+P_USV+P_MontStandort+H34*P_Agg)*EK,"")</f>
        <v>3819.9</v>
      </c>
      <c r="N34" s="38" t="n">
        <f aca="false">IF(Netz!C34=A34,L34+M34,"")</f>
        <v>7032.9</v>
      </c>
      <c r="O34" s="38" t="n">
        <f aca="false">IF(Netz!C34=A34,(K34*Uplink_Monat*12+Strom_Standort+E34*Strom_GW)*EK+N34*Wartung,"")</f>
        <v>2745.687</v>
      </c>
      <c r="P34" s="23" t="str">
        <f aca="false">IF(Netz!C34=A34,IF(E34&gt;Max_GW,"Achtung: mehr als "&amp;Max_GW&amp;" Gateways",IF(K34&gt;1,"OK – "&amp;K34&amp;" Internet-Anschlüsse nötig","OK")),"")</f>
        <v>OK – 2 Internet-Anschlüsse nötig</v>
      </c>
    </row>
    <row r="35" customFormat="false" ht="15" hidden="false" customHeight="false" outlineLevel="0" collapsed="false">
      <c r="A35" s="23" t="n">
        <f aca="false">Anlagen!A35</f>
        <v>31</v>
      </c>
      <c r="B35" s="23" t="str">
        <f aca="false">IF(Netz!C35=A35,Anlagen!B35,"")</f>
        <v/>
      </c>
      <c r="C35" s="23" t="str">
        <f aca="false">IF(Netz!C35=A35,COUNTIF(Netz!$C$5:$C$92,A35),"")</f>
        <v/>
      </c>
      <c r="D35" s="23" t="str">
        <f aca="false">IF(Netz!C35=A35,SUMIF(Netz!$C$5:$C$92,A35,Anlagen!$F$5:$F$92),"")</f>
        <v/>
      </c>
      <c r="E35" s="23" t="str">
        <f aca="false">IF(Netz!C35=A35,CEILING(D35/PG,1),"")</f>
        <v/>
      </c>
      <c r="F35" s="30" t="str">
        <f aca="false">IF(Netz!C35=A35,D35/(E35*PG),"")</f>
        <v/>
      </c>
      <c r="G35" s="23" t="str">
        <f aca="false">IF(Netz!C35=A35,Investition!E35+COUNTIF(Netz!$D$5:$D$92,A35),"")</f>
        <v/>
      </c>
      <c r="H35" s="23" t="str">
        <f aca="false">IF(Netz!C35=A35,CEILING((E35+G35)/Ports_Agg,1),"")</f>
        <v/>
      </c>
      <c r="I35" s="31" t="str">
        <f aca="false">IF(Netz!C35=A35,SUMIF(Netz!$C$5:$C$92,A35,Netz!$O$5:$O$92),"")</f>
        <v/>
      </c>
      <c r="J35" s="37" t="str">
        <f aca="false">IF(Netz!C35=A35,I35*Bandbreite/Ueberbuchung,"")</f>
        <v/>
      </c>
      <c r="K35" s="23" t="str">
        <f aca="false">IF(Netz!C35=A35,MAX(1,CEILING(J35/Uplink_Kap,1)),"")</f>
        <v/>
      </c>
      <c r="L35" s="38" t="str">
        <f aca="false">IF(Netz!C35=A35,E35*(P_UCG+P_DAC)*EK,"")</f>
        <v/>
      </c>
      <c r="M35" s="38" t="str">
        <f aca="false">IF(Netz!C35=A35,(P_KVz+P_USV+P_MontStandort+H35*P_Agg)*EK,"")</f>
        <v/>
      </c>
      <c r="N35" s="38" t="str">
        <f aca="false">IF(Netz!C35=A35,L35+M35,"")</f>
        <v/>
      </c>
      <c r="O35" s="38" t="str">
        <f aca="false">IF(Netz!C35=A35,(K35*Uplink_Monat*12+Strom_Standort+E35*Strom_GW)*EK+N35*Wartung,"")</f>
        <v/>
      </c>
      <c r="P35" s="23" t="str">
        <f aca="false">IF(Netz!C35=A35,IF(E35&gt;Max_GW,"Achtung: mehr als "&amp;Max_GW&amp;" Gateways",IF(K35&gt;1,"OK – "&amp;K35&amp;" Internet-Anschlüsse nötig","OK")),"")</f>
        <v/>
      </c>
    </row>
    <row r="36" customFormat="false" ht="15" hidden="false" customHeight="false" outlineLevel="0" collapsed="false">
      <c r="A36" s="23" t="n">
        <f aca="false">Anlagen!A36</f>
        <v>32</v>
      </c>
      <c r="B36" s="23" t="str">
        <f aca="false">IF(Netz!C36=A36,Anlagen!B36,"")</f>
        <v/>
      </c>
      <c r="C36" s="23" t="str">
        <f aca="false">IF(Netz!C36=A36,COUNTIF(Netz!$C$5:$C$92,A36),"")</f>
        <v/>
      </c>
      <c r="D36" s="23" t="str">
        <f aca="false">IF(Netz!C36=A36,SUMIF(Netz!$C$5:$C$92,A36,Anlagen!$F$5:$F$92),"")</f>
        <v/>
      </c>
      <c r="E36" s="23" t="str">
        <f aca="false">IF(Netz!C36=A36,CEILING(D36/PG,1),"")</f>
        <v/>
      </c>
      <c r="F36" s="30" t="str">
        <f aca="false">IF(Netz!C36=A36,D36/(E36*PG),"")</f>
        <v/>
      </c>
      <c r="G36" s="23" t="str">
        <f aca="false">IF(Netz!C36=A36,Investition!E36+COUNTIF(Netz!$D$5:$D$92,A36),"")</f>
        <v/>
      </c>
      <c r="H36" s="23" t="str">
        <f aca="false">IF(Netz!C36=A36,CEILING((E36+G36)/Ports_Agg,1),"")</f>
        <v/>
      </c>
      <c r="I36" s="31" t="str">
        <f aca="false">IF(Netz!C36=A36,SUMIF(Netz!$C$5:$C$92,A36,Netz!$O$5:$O$92),"")</f>
        <v/>
      </c>
      <c r="J36" s="37" t="str">
        <f aca="false">IF(Netz!C36=A36,I36*Bandbreite/Ueberbuchung,"")</f>
        <v/>
      </c>
      <c r="K36" s="23" t="str">
        <f aca="false">IF(Netz!C36=A36,MAX(1,CEILING(J36/Uplink_Kap,1)),"")</f>
        <v/>
      </c>
      <c r="L36" s="38" t="str">
        <f aca="false">IF(Netz!C36=A36,E36*(P_UCG+P_DAC)*EK,"")</f>
        <v/>
      </c>
      <c r="M36" s="38" t="str">
        <f aca="false">IF(Netz!C36=A36,(P_KVz+P_USV+P_MontStandort+H36*P_Agg)*EK,"")</f>
        <v/>
      </c>
      <c r="N36" s="38" t="str">
        <f aca="false">IF(Netz!C36=A36,L36+M36,"")</f>
        <v/>
      </c>
      <c r="O36" s="38" t="str">
        <f aca="false">IF(Netz!C36=A36,(K36*Uplink_Monat*12+Strom_Standort+E36*Strom_GW)*EK+N36*Wartung,"")</f>
        <v/>
      </c>
      <c r="P36" s="23" t="str">
        <f aca="false">IF(Netz!C36=A36,IF(E36&gt;Max_GW,"Achtung: mehr als "&amp;Max_GW&amp;" Gateways",IF(K36&gt;1,"OK – "&amp;K36&amp;" Internet-Anschlüsse nötig","OK")),"")</f>
        <v/>
      </c>
    </row>
    <row r="37" customFormat="false" ht="15" hidden="false" customHeight="false" outlineLevel="0" collapsed="false">
      <c r="A37" s="23" t="n">
        <f aca="false">Anlagen!A37</f>
        <v>33</v>
      </c>
      <c r="B37" s="23" t="str">
        <f aca="false">IF(Netz!C37=A37,Anlagen!B37,"")</f>
        <v>Fohrder Landstraße</v>
      </c>
      <c r="C37" s="23" t="n">
        <f aca="false">IF(Netz!C37=A37,COUNTIF(Netz!$C$5:$C$92,A37),"")</f>
        <v>8</v>
      </c>
      <c r="D37" s="23" t="n">
        <f aca="false">IF(Netz!C37=A37,SUMIF(Netz!$C$5:$C$92,A37,Anlagen!$F$5:$F$92),"")</f>
        <v>514</v>
      </c>
      <c r="E37" s="23" t="n">
        <f aca="false">IF(Netz!C37=A37,CEILING(D37/PG,1),"")</f>
        <v>10</v>
      </c>
      <c r="F37" s="30" t="n">
        <f aca="false">IF(Netz!C37=A37,D37/(E37*PG),"")</f>
        <v>0.934545454545455</v>
      </c>
      <c r="G37" s="23" t="n">
        <f aca="false">IF(Netz!C37=A37,Investition!E37+COUNTIF(Netz!$D$5:$D$92,A37),"")</f>
        <v>13</v>
      </c>
      <c r="H37" s="23" t="n">
        <f aca="false">IF(Netz!C37=A37,CEILING((E37+G37)/Ports_Agg,1),"")</f>
        <v>3</v>
      </c>
      <c r="I37" s="31" t="n">
        <f aca="false">IF(Netz!C37=A37,SUMIF(Netz!$C$5:$C$92,A37,Netz!$O$5:$O$92),"")</f>
        <v>289.904295778219</v>
      </c>
      <c r="J37" s="37" t="n">
        <f aca="false">IF(Netz!C37=A37,I37*Bandbreite/Ueberbuchung,"")</f>
        <v>1087.14110916832</v>
      </c>
      <c r="K37" s="23" t="n">
        <f aca="false">IF(Netz!C37=A37,MAX(1,CEILING(J37/Uplink_Kap,1)),"")</f>
        <v>2</v>
      </c>
      <c r="L37" s="38" t="n">
        <f aca="false">IF(Netz!C37=A37,E37*(P_UCG+P_DAC)*EK,"")</f>
        <v>3213</v>
      </c>
      <c r="M37" s="38" t="n">
        <f aca="false">IF(Netz!C37=A37,(P_KVz+P_USV+P_MontStandort+H37*P_Agg)*EK,"")</f>
        <v>3534.3</v>
      </c>
      <c r="N37" s="38" t="n">
        <f aca="false">IF(Netz!C37=A37,L37+M37,"")</f>
        <v>6747.3</v>
      </c>
      <c r="O37" s="38" t="n">
        <f aca="false">IF(Netz!C37=A37,(K37*Uplink_Monat*12+Strom_Standort+E37*Strom_GW)*EK+N37*Wartung,"")</f>
        <v>2737.119</v>
      </c>
      <c r="P37" s="23" t="str">
        <f aca="false">IF(Netz!C37=A37,IF(E37&gt;Max_GW,"Achtung: mehr als "&amp;Max_GW&amp;" Gateways",IF(K37&gt;1,"OK – "&amp;K37&amp;" Internet-Anschlüsse nötig","OK")),"")</f>
        <v>OK – 2 Internet-Anschlüsse nötig</v>
      </c>
    </row>
    <row r="38" customFormat="false" ht="15" hidden="false" customHeight="false" outlineLevel="0" collapsed="false">
      <c r="A38" s="23" t="n">
        <f aca="false">Anlagen!A38</f>
        <v>34</v>
      </c>
      <c r="B38" s="23" t="str">
        <f aca="false">IF(Netz!C38=A38,Anlagen!B38,"")</f>
        <v/>
      </c>
      <c r="C38" s="23" t="str">
        <f aca="false">IF(Netz!C38=A38,COUNTIF(Netz!$C$5:$C$92,A38),"")</f>
        <v/>
      </c>
      <c r="D38" s="23" t="str">
        <f aca="false">IF(Netz!C38=A38,SUMIF(Netz!$C$5:$C$92,A38,Anlagen!$F$5:$F$92),"")</f>
        <v/>
      </c>
      <c r="E38" s="23" t="str">
        <f aca="false">IF(Netz!C38=A38,CEILING(D38/PG,1),"")</f>
        <v/>
      </c>
      <c r="F38" s="30" t="str">
        <f aca="false">IF(Netz!C38=A38,D38/(E38*PG),"")</f>
        <v/>
      </c>
      <c r="G38" s="23" t="str">
        <f aca="false">IF(Netz!C38=A38,Investition!E38+COUNTIF(Netz!$D$5:$D$92,A38),"")</f>
        <v/>
      </c>
      <c r="H38" s="23" t="str">
        <f aca="false">IF(Netz!C38=A38,CEILING((E38+G38)/Ports_Agg,1),"")</f>
        <v/>
      </c>
      <c r="I38" s="31" t="str">
        <f aca="false">IF(Netz!C38=A38,SUMIF(Netz!$C$5:$C$92,A38,Netz!$O$5:$O$92),"")</f>
        <v/>
      </c>
      <c r="J38" s="37" t="str">
        <f aca="false">IF(Netz!C38=A38,I38*Bandbreite/Ueberbuchung,"")</f>
        <v/>
      </c>
      <c r="K38" s="23" t="str">
        <f aca="false">IF(Netz!C38=A38,MAX(1,CEILING(J38/Uplink_Kap,1)),"")</f>
        <v/>
      </c>
      <c r="L38" s="38" t="str">
        <f aca="false">IF(Netz!C38=A38,E38*(P_UCG+P_DAC)*EK,"")</f>
        <v/>
      </c>
      <c r="M38" s="38" t="str">
        <f aca="false">IF(Netz!C38=A38,(P_KVz+P_USV+P_MontStandort+H38*P_Agg)*EK,"")</f>
        <v/>
      </c>
      <c r="N38" s="38" t="str">
        <f aca="false">IF(Netz!C38=A38,L38+M38,"")</f>
        <v/>
      </c>
      <c r="O38" s="38" t="str">
        <f aca="false">IF(Netz!C38=A38,(K38*Uplink_Monat*12+Strom_Standort+E38*Strom_GW)*EK+N38*Wartung,"")</f>
        <v/>
      </c>
      <c r="P38" s="23" t="str">
        <f aca="false">IF(Netz!C38=A38,IF(E38&gt;Max_GW,"Achtung: mehr als "&amp;Max_GW&amp;" Gateways",IF(K38&gt;1,"OK – "&amp;K38&amp;" Internet-Anschlüsse nötig","OK")),"")</f>
        <v/>
      </c>
    </row>
    <row r="39" customFormat="false" ht="15" hidden="false" customHeight="false" outlineLevel="0" collapsed="false">
      <c r="A39" s="23" t="n">
        <f aca="false">Anlagen!A39</f>
        <v>35</v>
      </c>
      <c r="B39" s="23" t="str">
        <f aca="false">IF(Netz!C39=A39,Anlagen!B39,"")</f>
        <v/>
      </c>
      <c r="C39" s="23" t="str">
        <f aca="false">IF(Netz!C39=A39,COUNTIF(Netz!$C$5:$C$92,A39),"")</f>
        <v/>
      </c>
      <c r="D39" s="23" t="str">
        <f aca="false">IF(Netz!C39=A39,SUMIF(Netz!$C$5:$C$92,A39,Anlagen!$F$5:$F$92),"")</f>
        <v/>
      </c>
      <c r="E39" s="23" t="str">
        <f aca="false">IF(Netz!C39=A39,CEILING(D39/PG,1),"")</f>
        <v/>
      </c>
      <c r="F39" s="30" t="str">
        <f aca="false">IF(Netz!C39=A39,D39/(E39*PG),"")</f>
        <v/>
      </c>
      <c r="G39" s="23" t="str">
        <f aca="false">IF(Netz!C39=A39,Investition!E39+COUNTIF(Netz!$D$5:$D$92,A39),"")</f>
        <v/>
      </c>
      <c r="H39" s="23" t="str">
        <f aca="false">IF(Netz!C39=A39,CEILING((E39+G39)/Ports_Agg,1),"")</f>
        <v/>
      </c>
      <c r="I39" s="31" t="str">
        <f aca="false">IF(Netz!C39=A39,SUMIF(Netz!$C$5:$C$92,A39,Netz!$O$5:$O$92),"")</f>
        <v/>
      </c>
      <c r="J39" s="37" t="str">
        <f aca="false">IF(Netz!C39=A39,I39*Bandbreite/Ueberbuchung,"")</f>
        <v/>
      </c>
      <c r="K39" s="23" t="str">
        <f aca="false">IF(Netz!C39=A39,MAX(1,CEILING(J39/Uplink_Kap,1)),"")</f>
        <v/>
      </c>
      <c r="L39" s="38" t="str">
        <f aca="false">IF(Netz!C39=A39,E39*(P_UCG+P_DAC)*EK,"")</f>
        <v/>
      </c>
      <c r="M39" s="38" t="str">
        <f aca="false">IF(Netz!C39=A39,(P_KVz+P_USV+P_MontStandort+H39*P_Agg)*EK,"")</f>
        <v/>
      </c>
      <c r="N39" s="38" t="str">
        <f aca="false">IF(Netz!C39=A39,L39+M39,"")</f>
        <v/>
      </c>
      <c r="O39" s="38" t="str">
        <f aca="false">IF(Netz!C39=A39,(K39*Uplink_Monat*12+Strom_Standort+E39*Strom_GW)*EK+N39*Wartung,"")</f>
        <v/>
      </c>
      <c r="P39" s="23" t="str">
        <f aca="false">IF(Netz!C39=A39,IF(E39&gt;Max_GW,"Achtung: mehr als "&amp;Max_GW&amp;" Gateways",IF(K39&gt;1,"OK – "&amp;K39&amp;" Internet-Anschlüsse nötig","OK")),"")</f>
        <v/>
      </c>
    </row>
    <row r="40" customFormat="false" ht="15" hidden="false" customHeight="false" outlineLevel="0" collapsed="false">
      <c r="A40" s="23" t="n">
        <f aca="false">Anlagen!A40</f>
        <v>36</v>
      </c>
      <c r="B40" s="23" t="str">
        <f aca="false">IF(Netz!C40=A40,Anlagen!B40,"")</f>
        <v/>
      </c>
      <c r="C40" s="23" t="str">
        <f aca="false">IF(Netz!C40=A40,COUNTIF(Netz!$C$5:$C$92,A40),"")</f>
        <v/>
      </c>
      <c r="D40" s="23" t="str">
        <f aca="false">IF(Netz!C40=A40,SUMIF(Netz!$C$5:$C$92,A40,Anlagen!$F$5:$F$92),"")</f>
        <v/>
      </c>
      <c r="E40" s="23" t="str">
        <f aca="false">IF(Netz!C40=A40,CEILING(D40/PG,1),"")</f>
        <v/>
      </c>
      <c r="F40" s="30" t="str">
        <f aca="false">IF(Netz!C40=A40,D40/(E40*PG),"")</f>
        <v/>
      </c>
      <c r="G40" s="23" t="str">
        <f aca="false">IF(Netz!C40=A40,Investition!E40+COUNTIF(Netz!$D$5:$D$92,A40),"")</f>
        <v/>
      </c>
      <c r="H40" s="23" t="str">
        <f aca="false">IF(Netz!C40=A40,CEILING((E40+G40)/Ports_Agg,1),"")</f>
        <v/>
      </c>
      <c r="I40" s="31" t="str">
        <f aca="false">IF(Netz!C40=A40,SUMIF(Netz!$C$5:$C$92,A40,Netz!$O$5:$O$92),"")</f>
        <v/>
      </c>
      <c r="J40" s="37" t="str">
        <f aca="false">IF(Netz!C40=A40,I40*Bandbreite/Ueberbuchung,"")</f>
        <v/>
      </c>
      <c r="K40" s="23" t="str">
        <f aca="false">IF(Netz!C40=A40,MAX(1,CEILING(J40/Uplink_Kap,1)),"")</f>
        <v/>
      </c>
      <c r="L40" s="38" t="str">
        <f aca="false">IF(Netz!C40=A40,E40*(P_UCG+P_DAC)*EK,"")</f>
        <v/>
      </c>
      <c r="M40" s="38" t="str">
        <f aca="false">IF(Netz!C40=A40,(P_KVz+P_USV+P_MontStandort+H40*P_Agg)*EK,"")</f>
        <v/>
      </c>
      <c r="N40" s="38" t="str">
        <f aca="false">IF(Netz!C40=A40,L40+M40,"")</f>
        <v/>
      </c>
      <c r="O40" s="38" t="str">
        <f aca="false">IF(Netz!C40=A40,(K40*Uplink_Monat*12+Strom_Standort+E40*Strom_GW)*EK+N40*Wartung,"")</f>
        <v/>
      </c>
      <c r="P40" s="23" t="str">
        <f aca="false">IF(Netz!C40=A40,IF(E40&gt;Max_GW,"Achtung: mehr als "&amp;Max_GW&amp;" Gateways",IF(K40&gt;1,"OK – "&amp;K40&amp;" Internet-Anschlüsse nötig","OK")),"")</f>
        <v/>
      </c>
    </row>
    <row r="41" customFormat="false" ht="15" hidden="false" customHeight="false" outlineLevel="0" collapsed="false">
      <c r="A41" s="23" t="n">
        <f aca="false">Anlagen!A41</f>
        <v>37</v>
      </c>
      <c r="B41" s="23" t="str">
        <f aca="false">IF(Netz!C41=A41,Anlagen!B41,"")</f>
        <v/>
      </c>
      <c r="C41" s="23" t="str">
        <f aca="false">IF(Netz!C41=A41,COUNTIF(Netz!$C$5:$C$92,A41),"")</f>
        <v/>
      </c>
      <c r="D41" s="23" t="str">
        <f aca="false">IF(Netz!C41=A41,SUMIF(Netz!$C$5:$C$92,A41,Anlagen!$F$5:$F$92),"")</f>
        <v/>
      </c>
      <c r="E41" s="23" t="str">
        <f aca="false">IF(Netz!C41=A41,CEILING(D41/PG,1),"")</f>
        <v/>
      </c>
      <c r="F41" s="30" t="str">
        <f aca="false">IF(Netz!C41=A41,D41/(E41*PG),"")</f>
        <v/>
      </c>
      <c r="G41" s="23" t="str">
        <f aca="false">IF(Netz!C41=A41,Investition!E41+COUNTIF(Netz!$D$5:$D$92,A41),"")</f>
        <v/>
      </c>
      <c r="H41" s="23" t="str">
        <f aca="false">IF(Netz!C41=A41,CEILING((E41+G41)/Ports_Agg,1),"")</f>
        <v/>
      </c>
      <c r="I41" s="31" t="str">
        <f aca="false">IF(Netz!C41=A41,SUMIF(Netz!$C$5:$C$92,A41,Netz!$O$5:$O$92),"")</f>
        <v/>
      </c>
      <c r="J41" s="37" t="str">
        <f aca="false">IF(Netz!C41=A41,I41*Bandbreite/Ueberbuchung,"")</f>
        <v/>
      </c>
      <c r="K41" s="23" t="str">
        <f aca="false">IF(Netz!C41=A41,MAX(1,CEILING(J41/Uplink_Kap,1)),"")</f>
        <v/>
      </c>
      <c r="L41" s="38" t="str">
        <f aca="false">IF(Netz!C41=A41,E41*(P_UCG+P_DAC)*EK,"")</f>
        <v/>
      </c>
      <c r="M41" s="38" t="str">
        <f aca="false">IF(Netz!C41=A41,(P_KVz+P_USV+P_MontStandort+H41*P_Agg)*EK,"")</f>
        <v/>
      </c>
      <c r="N41" s="38" t="str">
        <f aca="false">IF(Netz!C41=A41,L41+M41,"")</f>
        <v/>
      </c>
      <c r="O41" s="38" t="str">
        <f aca="false">IF(Netz!C41=A41,(K41*Uplink_Monat*12+Strom_Standort+E41*Strom_GW)*EK+N41*Wartung,"")</f>
        <v/>
      </c>
      <c r="P41" s="23" t="str">
        <f aca="false">IF(Netz!C41=A41,IF(E41&gt;Max_GW,"Achtung: mehr als "&amp;Max_GW&amp;" Gateways",IF(K41&gt;1,"OK – "&amp;K41&amp;" Internet-Anschlüsse nötig","OK")),"")</f>
        <v/>
      </c>
    </row>
    <row r="42" customFormat="false" ht="15" hidden="false" customHeight="false" outlineLevel="0" collapsed="false">
      <c r="A42" s="23" t="n">
        <f aca="false">Anlagen!A42</f>
        <v>38</v>
      </c>
      <c r="B42" s="23" t="str">
        <f aca="false">IF(Netz!C42=A42,Anlagen!B42,"")</f>
        <v/>
      </c>
      <c r="C42" s="23" t="str">
        <f aca="false">IF(Netz!C42=A42,COUNTIF(Netz!$C$5:$C$92,A42),"")</f>
        <v/>
      </c>
      <c r="D42" s="23" t="str">
        <f aca="false">IF(Netz!C42=A42,SUMIF(Netz!$C$5:$C$92,A42,Anlagen!$F$5:$F$92),"")</f>
        <v/>
      </c>
      <c r="E42" s="23" t="str">
        <f aca="false">IF(Netz!C42=A42,CEILING(D42/PG,1),"")</f>
        <v/>
      </c>
      <c r="F42" s="30" t="str">
        <f aca="false">IF(Netz!C42=A42,D42/(E42*PG),"")</f>
        <v/>
      </c>
      <c r="G42" s="23" t="str">
        <f aca="false">IF(Netz!C42=A42,Investition!E42+COUNTIF(Netz!$D$5:$D$92,A42),"")</f>
        <v/>
      </c>
      <c r="H42" s="23" t="str">
        <f aca="false">IF(Netz!C42=A42,CEILING((E42+G42)/Ports_Agg,1),"")</f>
        <v/>
      </c>
      <c r="I42" s="31" t="str">
        <f aca="false">IF(Netz!C42=A42,SUMIF(Netz!$C$5:$C$92,A42,Netz!$O$5:$O$92),"")</f>
        <v/>
      </c>
      <c r="J42" s="37" t="str">
        <f aca="false">IF(Netz!C42=A42,I42*Bandbreite/Ueberbuchung,"")</f>
        <v/>
      </c>
      <c r="K42" s="23" t="str">
        <f aca="false">IF(Netz!C42=A42,MAX(1,CEILING(J42/Uplink_Kap,1)),"")</f>
        <v/>
      </c>
      <c r="L42" s="38" t="str">
        <f aca="false">IF(Netz!C42=A42,E42*(P_UCG+P_DAC)*EK,"")</f>
        <v/>
      </c>
      <c r="M42" s="38" t="str">
        <f aca="false">IF(Netz!C42=A42,(P_KVz+P_USV+P_MontStandort+H42*P_Agg)*EK,"")</f>
        <v/>
      </c>
      <c r="N42" s="38" t="str">
        <f aca="false">IF(Netz!C42=A42,L42+M42,"")</f>
        <v/>
      </c>
      <c r="O42" s="38" t="str">
        <f aca="false">IF(Netz!C42=A42,(K42*Uplink_Monat*12+Strom_Standort+E42*Strom_GW)*EK+N42*Wartung,"")</f>
        <v/>
      </c>
      <c r="P42" s="23" t="str">
        <f aca="false">IF(Netz!C42=A42,IF(E42&gt;Max_GW,"Achtung: mehr als "&amp;Max_GW&amp;" Gateways",IF(K42&gt;1,"OK – "&amp;K42&amp;" Internet-Anschlüsse nötig","OK")),"")</f>
        <v/>
      </c>
    </row>
    <row r="43" customFormat="false" ht="15" hidden="false" customHeight="false" outlineLevel="0" collapsed="false">
      <c r="A43" s="23" t="n">
        <f aca="false">Anlagen!A43</f>
        <v>39</v>
      </c>
      <c r="B43" s="23" t="str">
        <f aca="false">IF(Netz!C43=A43,Anlagen!B43,"")</f>
        <v/>
      </c>
      <c r="C43" s="23" t="str">
        <f aca="false">IF(Netz!C43=A43,COUNTIF(Netz!$C$5:$C$92,A43),"")</f>
        <v/>
      </c>
      <c r="D43" s="23" t="str">
        <f aca="false">IF(Netz!C43=A43,SUMIF(Netz!$C$5:$C$92,A43,Anlagen!$F$5:$F$92),"")</f>
        <v/>
      </c>
      <c r="E43" s="23" t="str">
        <f aca="false">IF(Netz!C43=A43,CEILING(D43/PG,1),"")</f>
        <v/>
      </c>
      <c r="F43" s="30" t="str">
        <f aca="false">IF(Netz!C43=A43,D43/(E43*PG),"")</f>
        <v/>
      </c>
      <c r="G43" s="23" t="str">
        <f aca="false">IF(Netz!C43=A43,Investition!E43+COUNTIF(Netz!$D$5:$D$92,A43),"")</f>
        <v/>
      </c>
      <c r="H43" s="23" t="str">
        <f aca="false">IF(Netz!C43=A43,CEILING((E43+G43)/Ports_Agg,1),"")</f>
        <v/>
      </c>
      <c r="I43" s="31" t="str">
        <f aca="false">IF(Netz!C43=A43,SUMIF(Netz!$C$5:$C$92,A43,Netz!$O$5:$O$92),"")</f>
        <v/>
      </c>
      <c r="J43" s="37" t="str">
        <f aca="false">IF(Netz!C43=A43,I43*Bandbreite/Ueberbuchung,"")</f>
        <v/>
      </c>
      <c r="K43" s="23" t="str">
        <f aca="false">IF(Netz!C43=A43,MAX(1,CEILING(J43/Uplink_Kap,1)),"")</f>
        <v/>
      </c>
      <c r="L43" s="38" t="str">
        <f aca="false">IF(Netz!C43=A43,E43*(P_UCG+P_DAC)*EK,"")</f>
        <v/>
      </c>
      <c r="M43" s="38" t="str">
        <f aca="false">IF(Netz!C43=A43,(P_KVz+P_USV+P_MontStandort+H43*P_Agg)*EK,"")</f>
        <v/>
      </c>
      <c r="N43" s="38" t="str">
        <f aca="false">IF(Netz!C43=A43,L43+M43,"")</f>
        <v/>
      </c>
      <c r="O43" s="38" t="str">
        <f aca="false">IF(Netz!C43=A43,(K43*Uplink_Monat*12+Strom_Standort+E43*Strom_GW)*EK+N43*Wartung,"")</f>
        <v/>
      </c>
      <c r="P43" s="23" t="str">
        <f aca="false">IF(Netz!C43=A43,IF(E43&gt;Max_GW,"Achtung: mehr als "&amp;Max_GW&amp;" Gateways",IF(K43&gt;1,"OK – "&amp;K43&amp;" Internet-Anschlüsse nötig","OK")),"")</f>
        <v/>
      </c>
    </row>
    <row r="44" customFormat="false" ht="15" hidden="false" customHeight="false" outlineLevel="0" collapsed="false">
      <c r="A44" s="23" t="n">
        <f aca="false">Anlagen!A44</f>
        <v>40</v>
      </c>
      <c r="B44" s="23" t="str">
        <f aca="false">IF(Netz!C44=A44,Anlagen!B44,"")</f>
        <v/>
      </c>
      <c r="C44" s="23" t="str">
        <f aca="false">IF(Netz!C44=A44,COUNTIF(Netz!$C$5:$C$92,A44),"")</f>
        <v/>
      </c>
      <c r="D44" s="23" t="str">
        <f aca="false">IF(Netz!C44=A44,SUMIF(Netz!$C$5:$C$92,A44,Anlagen!$F$5:$F$92),"")</f>
        <v/>
      </c>
      <c r="E44" s="23" t="str">
        <f aca="false">IF(Netz!C44=A44,CEILING(D44/PG,1),"")</f>
        <v/>
      </c>
      <c r="F44" s="30" t="str">
        <f aca="false">IF(Netz!C44=A44,D44/(E44*PG),"")</f>
        <v/>
      </c>
      <c r="G44" s="23" t="str">
        <f aca="false">IF(Netz!C44=A44,Investition!E44+COUNTIF(Netz!$D$5:$D$92,A44),"")</f>
        <v/>
      </c>
      <c r="H44" s="23" t="str">
        <f aca="false">IF(Netz!C44=A44,CEILING((E44+G44)/Ports_Agg,1),"")</f>
        <v/>
      </c>
      <c r="I44" s="31" t="str">
        <f aca="false">IF(Netz!C44=A44,SUMIF(Netz!$C$5:$C$92,A44,Netz!$O$5:$O$92),"")</f>
        <v/>
      </c>
      <c r="J44" s="37" t="str">
        <f aca="false">IF(Netz!C44=A44,I44*Bandbreite/Ueberbuchung,"")</f>
        <v/>
      </c>
      <c r="K44" s="23" t="str">
        <f aca="false">IF(Netz!C44=A44,MAX(1,CEILING(J44/Uplink_Kap,1)),"")</f>
        <v/>
      </c>
      <c r="L44" s="38" t="str">
        <f aca="false">IF(Netz!C44=A44,E44*(P_UCG+P_DAC)*EK,"")</f>
        <v/>
      </c>
      <c r="M44" s="38" t="str">
        <f aca="false">IF(Netz!C44=A44,(P_KVz+P_USV+P_MontStandort+H44*P_Agg)*EK,"")</f>
        <v/>
      </c>
      <c r="N44" s="38" t="str">
        <f aca="false">IF(Netz!C44=A44,L44+M44,"")</f>
        <v/>
      </c>
      <c r="O44" s="38" t="str">
        <f aca="false">IF(Netz!C44=A44,(K44*Uplink_Monat*12+Strom_Standort+E44*Strom_GW)*EK+N44*Wartung,"")</f>
        <v/>
      </c>
      <c r="P44" s="23" t="str">
        <f aca="false">IF(Netz!C44=A44,IF(E44&gt;Max_GW,"Achtung: mehr als "&amp;Max_GW&amp;" Gateways",IF(K44&gt;1,"OK – "&amp;K44&amp;" Internet-Anschlüsse nötig","OK")),"")</f>
        <v/>
      </c>
    </row>
    <row r="45" customFormat="false" ht="15" hidden="false" customHeight="false" outlineLevel="0" collapsed="false">
      <c r="A45" s="23" t="n">
        <f aca="false">Anlagen!A45</f>
        <v>41</v>
      </c>
      <c r="B45" s="23" t="str">
        <f aca="false">IF(Netz!C45=A45,Anlagen!B45,"")</f>
        <v>Glück im Winkel</v>
      </c>
      <c r="C45" s="23" t="n">
        <f aca="false">IF(Netz!C45=A45,COUNTIF(Netz!$C$5:$C$92,A45),"")</f>
        <v>6</v>
      </c>
      <c r="D45" s="23" t="n">
        <f aca="false">IF(Netz!C45=A45,SUMIF(Netz!$C$5:$C$92,A45,Anlagen!$F$5:$F$92),"")</f>
        <v>540</v>
      </c>
      <c r="E45" s="23" t="n">
        <f aca="false">IF(Netz!C45=A45,CEILING(D45/PG,1),"")</f>
        <v>10</v>
      </c>
      <c r="F45" s="30" t="n">
        <f aca="false">IF(Netz!C45=A45,D45/(E45*PG),"")</f>
        <v>0.981818181818182</v>
      </c>
      <c r="G45" s="23" t="n">
        <f aca="false">IF(Netz!C45=A45,Investition!E45+COUNTIF(Netz!$D$5:$D$92,A45),"")</f>
        <v>11</v>
      </c>
      <c r="H45" s="23" t="n">
        <f aca="false">IF(Netz!C45=A45,CEILING((E45+G45)/Ports_Agg,1),"")</f>
        <v>3</v>
      </c>
      <c r="I45" s="31" t="n">
        <f aca="false">IF(Netz!C45=A45,SUMIF(Netz!$C$5:$C$92,A45,Netz!$O$5:$O$92),"")</f>
        <v>301.934482720203</v>
      </c>
      <c r="J45" s="37" t="n">
        <f aca="false">IF(Netz!C45=A45,I45*Bandbreite/Ueberbuchung,"")</f>
        <v>1132.25431020076</v>
      </c>
      <c r="K45" s="23" t="n">
        <f aca="false">IF(Netz!C45=A45,MAX(1,CEILING(J45/Uplink_Kap,1)),"")</f>
        <v>2</v>
      </c>
      <c r="L45" s="38" t="n">
        <f aca="false">IF(Netz!C45=A45,E45*(P_UCG+P_DAC)*EK,"")</f>
        <v>3213</v>
      </c>
      <c r="M45" s="38" t="n">
        <f aca="false">IF(Netz!C45=A45,(P_KVz+P_USV+P_MontStandort+H45*P_Agg)*EK,"")</f>
        <v>3534.3</v>
      </c>
      <c r="N45" s="38" t="n">
        <f aca="false">IF(Netz!C45=A45,L45+M45,"")</f>
        <v>6747.3</v>
      </c>
      <c r="O45" s="38" t="n">
        <f aca="false">IF(Netz!C45=A45,(K45*Uplink_Monat*12+Strom_Standort+E45*Strom_GW)*EK+N45*Wartung,"")</f>
        <v>2737.119</v>
      </c>
      <c r="P45" s="23" t="str">
        <f aca="false">IF(Netz!C45=A45,IF(E45&gt;Max_GW,"Achtung: mehr als "&amp;Max_GW&amp;" Gateways",IF(K45&gt;1,"OK – "&amp;K45&amp;" Internet-Anschlüsse nötig","OK")),"")</f>
        <v>OK – 2 Internet-Anschlüsse nötig</v>
      </c>
    </row>
    <row r="46" customFormat="false" ht="15" hidden="false" customHeight="false" outlineLevel="0" collapsed="false">
      <c r="A46" s="23" t="n">
        <f aca="false">Anlagen!A46</f>
        <v>42</v>
      </c>
      <c r="B46" s="23" t="str">
        <f aca="false">IF(Netz!C46=A46,Anlagen!B46,"")</f>
        <v/>
      </c>
      <c r="C46" s="23" t="str">
        <f aca="false">IF(Netz!C46=A46,COUNTIF(Netz!$C$5:$C$92,A46),"")</f>
        <v/>
      </c>
      <c r="D46" s="23" t="str">
        <f aca="false">IF(Netz!C46=A46,SUMIF(Netz!$C$5:$C$92,A46,Anlagen!$F$5:$F$92),"")</f>
        <v/>
      </c>
      <c r="E46" s="23" t="str">
        <f aca="false">IF(Netz!C46=A46,CEILING(D46/PG,1),"")</f>
        <v/>
      </c>
      <c r="F46" s="30" t="str">
        <f aca="false">IF(Netz!C46=A46,D46/(E46*PG),"")</f>
        <v/>
      </c>
      <c r="G46" s="23" t="str">
        <f aca="false">IF(Netz!C46=A46,Investition!E46+COUNTIF(Netz!$D$5:$D$92,A46),"")</f>
        <v/>
      </c>
      <c r="H46" s="23" t="str">
        <f aca="false">IF(Netz!C46=A46,CEILING((E46+G46)/Ports_Agg,1),"")</f>
        <v/>
      </c>
      <c r="I46" s="31" t="str">
        <f aca="false">IF(Netz!C46=A46,SUMIF(Netz!$C$5:$C$92,A46,Netz!$O$5:$O$92),"")</f>
        <v/>
      </c>
      <c r="J46" s="37" t="str">
        <f aca="false">IF(Netz!C46=A46,I46*Bandbreite/Ueberbuchung,"")</f>
        <v/>
      </c>
      <c r="K46" s="23" t="str">
        <f aca="false">IF(Netz!C46=A46,MAX(1,CEILING(J46/Uplink_Kap,1)),"")</f>
        <v/>
      </c>
      <c r="L46" s="38" t="str">
        <f aca="false">IF(Netz!C46=A46,E46*(P_UCG+P_DAC)*EK,"")</f>
        <v/>
      </c>
      <c r="M46" s="38" t="str">
        <f aca="false">IF(Netz!C46=A46,(P_KVz+P_USV+P_MontStandort+H46*P_Agg)*EK,"")</f>
        <v/>
      </c>
      <c r="N46" s="38" t="str">
        <f aca="false">IF(Netz!C46=A46,L46+M46,"")</f>
        <v/>
      </c>
      <c r="O46" s="38" t="str">
        <f aca="false">IF(Netz!C46=A46,(K46*Uplink_Monat*12+Strom_Standort+E46*Strom_GW)*EK+N46*Wartung,"")</f>
        <v/>
      </c>
      <c r="P46" s="23" t="str">
        <f aca="false">IF(Netz!C46=A46,IF(E46&gt;Max_GW,"Achtung: mehr als "&amp;Max_GW&amp;" Gateways",IF(K46&gt;1,"OK – "&amp;K46&amp;" Internet-Anschlüsse nötig","OK")),"")</f>
        <v/>
      </c>
    </row>
    <row r="47" customFormat="false" ht="15" hidden="false" customHeight="false" outlineLevel="0" collapsed="false">
      <c r="A47" s="23" t="n">
        <f aca="false">Anlagen!A47</f>
        <v>43</v>
      </c>
      <c r="B47" s="23" t="str">
        <f aca="false">IF(Netz!C47=A47,Anlagen!B47,"")</f>
        <v/>
      </c>
      <c r="C47" s="23" t="str">
        <f aca="false">IF(Netz!C47=A47,COUNTIF(Netz!$C$5:$C$92,A47),"")</f>
        <v/>
      </c>
      <c r="D47" s="23" t="str">
        <f aca="false">IF(Netz!C47=A47,SUMIF(Netz!$C$5:$C$92,A47,Anlagen!$F$5:$F$92),"")</f>
        <v/>
      </c>
      <c r="E47" s="23" t="str">
        <f aca="false">IF(Netz!C47=A47,CEILING(D47/PG,1),"")</f>
        <v/>
      </c>
      <c r="F47" s="30" t="str">
        <f aca="false">IF(Netz!C47=A47,D47/(E47*PG),"")</f>
        <v/>
      </c>
      <c r="G47" s="23" t="str">
        <f aca="false">IF(Netz!C47=A47,Investition!E47+COUNTIF(Netz!$D$5:$D$92,A47),"")</f>
        <v/>
      </c>
      <c r="H47" s="23" t="str">
        <f aca="false">IF(Netz!C47=A47,CEILING((E47+G47)/Ports_Agg,1),"")</f>
        <v/>
      </c>
      <c r="I47" s="31" t="str">
        <f aca="false">IF(Netz!C47=A47,SUMIF(Netz!$C$5:$C$92,A47,Netz!$O$5:$O$92),"")</f>
        <v/>
      </c>
      <c r="J47" s="37" t="str">
        <f aca="false">IF(Netz!C47=A47,I47*Bandbreite/Ueberbuchung,"")</f>
        <v/>
      </c>
      <c r="K47" s="23" t="str">
        <f aca="false">IF(Netz!C47=A47,MAX(1,CEILING(J47/Uplink_Kap,1)),"")</f>
        <v/>
      </c>
      <c r="L47" s="38" t="str">
        <f aca="false">IF(Netz!C47=A47,E47*(P_UCG+P_DAC)*EK,"")</f>
        <v/>
      </c>
      <c r="M47" s="38" t="str">
        <f aca="false">IF(Netz!C47=A47,(P_KVz+P_USV+P_MontStandort+H47*P_Agg)*EK,"")</f>
        <v/>
      </c>
      <c r="N47" s="38" t="str">
        <f aca="false">IF(Netz!C47=A47,L47+M47,"")</f>
        <v/>
      </c>
      <c r="O47" s="38" t="str">
        <f aca="false">IF(Netz!C47=A47,(K47*Uplink_Monat*12+Strom_Standort+E47*Strom_GW)*EK+N47*Wartung,"")</f>
        <v/>
      </c>
      <c r="P47" s="23" t="str">
        <f aca="false">IF(Netz!C47=A47,IF(E47&gt;Max_GW,"Achtung: mehr als "&amp;Max_GW&amp;" Gateways",IF(K47&gt;1,"OK – "&amp;K47&amp;" Internet-Anschlüsse nötig","OK")),"")</f>
        <v/>
      </c>
    </row>
    <row r="48" customFormat="false" ht="15" hidden="false" customHeight="false" outlineLevel="0" collapsed="false">
      <c r="A48" s="23" t="n">
        <f aca="false">Anlagen!A48</f>
        <v>44</v>
      </c>
      <c r="B48" s="23" t="str">
        <f aca="false">IF(Netz!C48=A48,Anlagen!B48,"")</f>
        <v/>
      </c>
      <c r="C48" s="23" t="str">
        <f aca="false">IF(Netz!C48=A48,COUNTIF(Netz!$C$5:$C$92,A48),"")</f>
        <v/>
      </c>
      <c r="D48" s="23" t="str">
        <f aca="false">IF(Netz!C48=A48,SUMIF(Netz!$C$5:$C$92,A48,Anlagen!$F$5:$F$92),"")</f>
        <v/>
      </c>
      <c r="E48" s="23" t="str">
        <f aca="false">IF(Netz!C48=A48,CEILING(D48/PG,1),"")</f>
        <v/>
      </c>
      <c r="F48" s="30" t="str">
        <f aca="false">IF(Netz!C48=A48,D48/(E48*PG),"")</f>
        <v/>
      </c>
      <c r="G48" s="23" t="str">
        <f aca="false">IF(Netz!C48=A48,Investition!E48+COUNTIF(Netz!$D$5:$D$92,A48),"")</f>
        <v/>
      </c>
      <c r="H48" s="23" t="str">
        <f aca="false">IF(Netz!C48=A48,CEILING((E48+G48)/Ports_Agg,1),"")</f>
        <v/>
      </c>
      <c r="I48" s="31" t="str">
        <f aca="false">IF(Netz!C48=A48,SUMIF(Netz!$C$5:$C$92,A48,Netz!$O$5:$O$92),"")</f>
        <v/>
      </c>
      <c r="J48" s="37" t="str">
        <f aca="false">IF(Netz!C48=A48,I48*Bandbreite/Ueberbuchung,"")</f>
        <v/>
      </c>
      <c r="K48" s="23" t="str">
        <f aca="false">IF(Netz!C48=A48,MAX(1,CEILING(J48/Uplink_Kap,1)),"")</f>
        <v/>
      </c>
      <c r="L48" s="38" t="str">
        <f aca="false">IF(Netz!C48=A48,E48*(P_UCG+P_DAC)*EK,"")</f>
        <v/>
      </c>
      <c r="M48" s="38" t="str">
        <f aca="false">IF(Netz!C48=A48,(P_KVz+P_USV+P_MontStandort+H48*P_Agg)*EK,"")</f>
        <v/>
      </c>
      <c r="N48" s="38" t="str">
        <f aca="false">IF(Netz!C48=A48,L48+M48,"")</f>
        <v/>
      </c>
      <c r="O48" s="38" t="str">
        <f aca="false">IF(Netz!C48=A48,(K48*Uplink_Monat*12+Strom_Standort+E48*Strom_GW)*EK+N48*Wartung,"")</f>
        <v/>
      </c>
      <c r="P48" s="23" t="str">
        <f aca="false">IF(Netz!C48=A48,IF(E48&gt;Max_GW,"Achtung: mehr als "&amp;Max_GW&amp;" Gateways",IF(K48&gt;1,"OK – "&amp;K48&amp;" Internet-Anschlüsse nötig","OK")),"")</f>
        <v/>
      </c>
    </row>
    <row r="49" customFormat="false" ht="15" hidden="false" customHeight="false" outlineLevel="0" collapsed="false">
      <c r="A49" s="23" t="n">
        <f aca="false">Anlagen!A49</f>
        <v>45</v>
      </c>
      <c r="B49" s="23" t="str">
        <f aca="false">IF(Netz!C49=A49,Anlagen!B49,"")</f>
        <v/>
      </c>
      <c r="C49" s="23" t="str">
        <f aca="false">IF(Netz!C49=A49,COUNTIF(Netz!$C$5:$C$92,A49),"")</f>
        <v/>
      </c>
      <c r="D49" s="23" t="str">
        <f aca="false">IF(Netz!C49=A49,SUMIF(Netz!$C$5:$C$92,A49,Anlagen!$F$5:$F$92),"")</f>
        <v/>
      </c>
      <c r="E49" s="23" t="str">
        <f aca="false">IF(Netz!C49=A49,CEILING(D49/PG,1),"")</f>
        <v/>
      </c>
      <c r="F49" s="30" t="str">
        <f aca="false">IF(Netz!C49=A49,D49/(E49*PG),"")</f>
        <v/>
      </c>
      <c r="G49" s="23" t="str">
        <f aca="false">IF(Netz!C49=A49,Investition!E49+COUNTIF(Netz!$D$5:$D$92,A49),"")</f>
        <v/>
      </c>
      <c r="H49" s="23" t="str">
        <f aca="false">IF(Netz!C49=A49,CEILING((E49+G49)/Ports_Agg,1),"")</f>
        <v/>
      </c>
      <c r="I49" s="31" t="str">
        <f aca="false">IF(Netz!C49=A49,SUMIF(Netz!$C$5:$C$92,A49,Netz!$O$5:$O$92),"")</f>
        <v/>
      </c>
      <c r="J49" s="37" t="str">
        <f aca="false">IF(Netz!C49=A49,I49*Bandbreite/Ueberbuchung,"")</f>
        <v/>
      </c>
      <c r="K49" s="23" t="str">
        <f aca="false">IF(Netz!C49=A49,MAX(1,CEILING(J49/Uplink_Kap,1)),"")</f>
        <v/>
      </c>
      <c r="L49" s="38" t="str">
        <f aca="false">IF(Netz!C49=A49,E49*(P_UCG+P_DAC)*EK,"")</f>
        <v/>
      </c>
      <c r="M49" s="38" t="str">
        <f aca="false">IF(Netz!C49=A49,(P_KVz+P_USV+P_MontStandort+H49*P_Agg)*EK,"")</f>
        <v/>
      </c>
      <c r="N49" s="38" t="str">
        <f aca="false">IF(Netz!C49=A49,L49+M49,"")</f>
        <v/>
      </c>
      <c r="O49" s="38" t="str">
        <f aca="false">IF(Netz!C49=A49,(K49*Uplink_Monat*12+Strom_Standort+E49*Strom_GW)*EK+N49*Wartung,"")</f>
        <v/>
      </c>
      <c r="P49" s="23" t="str">
        <f aca="false">IF(Netz!C49=A49,IF(E49&gt;Max_GW,"Achtung: mehr als "&amp;Max_GW&amp;" Gateways",IF(K49&gt;1,"OK – "&amp;K49&amp;" Internet-Anschlüsse nötig","OK")),"")</f>
        <v/>
      </c>
    </row>
    <row r="50" customFormat="false" ht="15" hidden="false" customHeight="false" outlineLevel="0" collapsed="false">
      <c r="A50" s="23" t="n">
        <f aca="false">Anlagen!A50</f>
        <v>46</v>
      </c>
      <c r="B50" s="23" t="str">
        <f aca="false">IF(Netz!C50=A50,Anlagen!B50,"")</f>
        <v/>
      </c>
      <c r="C50" s="23" t="str">
        <f aca="false">IF(Netz!C50=A50,COUNTIF(Netz!$C$5:$C$92,A50),"")</f>
        <v/>
      </c>
      <c r="D50" s="23" t="str">
        <f aca="false">IF(Netz!C50=A50,SUMIF(Netz!$C$5:$C$92,A50,Anlagen!$F$5:$F$92),"")</f>
        <v/>
      </c>
      <c r="E50" s="23" t="str">
        <f aca="false">IF(Netz!C50=A50,CEILING(D50/PG,1),"")</f>
        <v/>
      </c>
      <c r="F50" s="30" t="str">
        <f aca="false">IF(Netz!C50=A50,D50/(E50*PG),"")</f>
        <v/>
      </c>
      <c r="G50" s="23" t="str">
        <f aca="false">IF(Netz!C50=A50,Investition!E50+COUNTIF(Netz!$D$5:$D$92,A50),"")</f>
        <v/>
      </c>
      <c r="H50" s="23" t="str">
        <f aca="false">IF(Netz!C50=A50,CEILING((E50+G50)/Ports_Agg,1),"")</f>
        <v/>
      </c>
      <c r="I50" s="31" t="str">
        <f aca="false">IF(Netz!C50=A50,SUMIF(Netz!$C$5:$C$92,A50,Netz!$O$5:$O$92),"")</f>
        <v/>
      </c>
      <c r="J50" s="37" t="str">
        <f aca="false">IF(Netz!C50=A50,I50*Bandbreite/Ueberbuchung,"")</f>
        <v/>
      </c>
      <c r="K50" s="23" t="str">
        <f aca="false">IF(Netz!C50=A50,MAX(1,CEILING(J50/Uplink_Kap,1)),"")</f>
        <v/>
      </c>
      <c r="L50" s="38" t="str">
        <f aca="false">IF(Netz!C50=A50,E50*(P_UCG+P_DAC)*EK,"")</f>
        <v/>
      </c>
      <c r="M50" s="38" t="str">
        <f aca="false">IF(Netz!C50=A50,(P_KVz+P_USV+P_MontStandort+H50*P_Agg)*EK,"")</f>
        <v/>
      </c>
      <c r="N50" s="38" t="str">
        <f aca="false">IF(Netz!C50=A50,L50+M50,"")</f>
        <v/>
      </c>
      <c r="O50" s="38" t="str">
        <f aca="false">IF(Netz!C50=A50,(K50*Uplink_Monat*12+Strom_Standort+E50*Strom_GW)*EK+N50*Wartung,"")</f>
        <v/>
      </c>
      <c r="P50" s="23" t="str">
        <f aca="false">IF(Netz!C50=A50,IF(E50&gt;Max_GW,"Achtung: mehr als "&amp;Max_GW&amp;" Gateways",IF(K50&gt;1,"OK – "&amp;K50&amp;" Internet-Anschlüsse nötig","OK")),"")</f>
        <v/>
      </c>
    </row>
    <row r="51" customFormat="false" ht="15" hidden="false" customHeight="false" outlineLevel="0" collapsed="false">
      <c r="A51" s="23" t="n">
        <f aca="false">Anlagen!A51</f>
        <v>47</v>
      </c>
      <c r="B51" s="23" t="str">
        <f aca="false">IF(Netz!C51=A51,Anlagen!B51,"")</f>
        <v/>
      </c>
      <c r="C51" s="23" t="str">
        <f aca="false">IF(Netz!C51=A51,COUNTIF(Netz!$C$5:$C$92,A51),"")</f>
        <v/>
      </c>
      <c r="D51" s="23" t="str">
        <f aca="false">IF(Netz!C51=A51,SUMIF(Netz!$C$5:$C$92,A51,Anlagen!$F$5:$F$92),"")</f>
        <v/>
      </c>
      <c r="E51" s="23" t="str">
        <f aca="false">IF(Netz!C51=A51,CEILING(D51/PG,1),"")</f>
        <v/>
      </c>
      <c r="F51" s="30" t="str">
        <f aca="false">IF(Netz!C51=A51,D51/(E51*PG),"")</f>
        <v/>
      </c>
      <c r="G51" s="23" t="str">
        <f aca="false">IF(Netz!C51=A51,Investition!E51+COUNTIF(Netz!$D$5:$D$92,A51),"")</f>
        <v/>
      </c>
      <c r="H51" s="23" t="str">
        <f aca="false">IF(Netz!C51=A51,CEILING((E51+G51)/Ports_Agg,1),"")</f>
        <v/>
      </c>
      <c r="I51" s="31" t="str">
        <f aca="false">IF(Netz!C51=A51,SUMIF(Netz!$C$5:$C$92,A51,Netz!$O$5:$O$92),"")</f>
        <v/>
      </c>
      <c r="J51" s="37" t="str">
        <f aca="false">IF(Netz!C51=A51,I51*Bandbreite/Ueberbuchung,"")</f>
        <v/>
      </c>
      <c r="K51" s="23" t="str">
        <f aca="false">IF(Netz!C51=A51,MAX(1,CEILING(J51/Uplink_Kap,1)),"")</f>
        <v/>
      </c>
      <c r="L51" s="38" t="str">
        <f aca="false">IF(Netz!C51=A51,E51*(P_UCG+P_DAC)*EK,"")</f>
        <v/>
      </c>
      <c r="M51" s="38" t="str">
        <f aca="false">IF(Netz!C51=A51,(P_KVz+P_USV+P_MontStandort+H51*P_Agg)*EK,"")</f>
        <v/>
      </c>
      <c r="N51" s="38" t="str">
        <f aca="false">IF(Netz!C51=A51,L51+M51,"")</f>
        <v/>
      </c>
      <c r="O51" s="38" t="str">
        <f aca="false">IF(Netz!C51=A51,(K51*Uplink_Monat*12+Strom_Standort+E51*Strom_GW)*EK+N51*Wartung,"")</f>
        <v/>
      </c>
      <c r="P51" s="23" t="str">
        <f aca="false">IF(Netz!C51=A51,IF(E51&gt;Max_GW,"Achtung: mehr als "&amp;Max_GW&amp;" Gateways",IF(K51&gt;1,"OK – "&amp;K51&amp;" Internet-Anschlüsse nötig","OK")),"")</f>
        <v/>
      </c>
    </row>
    <row r="52" customFormat="false" ht="15" hidden="false" customHeight="false" outlineLevel="0" collapsed="false">
      <c r="A52" s="23" t="n">
        <f aca="false">Anlagen!A52</f>
        <v>48</v>
      </c>
      <c r="B52" s="23" t="str">
        <f aca="false">IF(Netz!C52=A52,Anlagen!B52,"")</f>
        <v>Heidekrug</v>
      </c>
      <c r="C52" s="23" t="n">
        <f aca="false">IF(Netz!C52=A52,COUNTIF(Netz!$C$5:$C$92,A52),"")</f>
        <v>1</v>
      </c>
      <c r="D52" s="23" t="n">
        <f aca="false">IF(Netz!C52=A52,SUMIF(Netz!$C$5:$C$92,A52,Anlagen!$F$5:$F$92),"")</f>
        <v>34</v>
      </c>
      <c r="E52" s="23" t="n">
        <f aca="false">IF(Netz!C52=A52,CEILING(D52/PG,1),"")</f>
        <v>1</v>
      </c>
      <c r="F52" s="30" t="n">
        <f aca="false">IF(Netz!C52=A52,D52/(E52*PG),"")</f>
        <v>0.618181818181818</v>
      </c>
      <c r="G52" s="23" t="n">
        <f aca="false">IF(Netz!C52=A52,Investition!E52+COUNTIF(Netz!$D$5:$D$92,A52),"")</f>
        <v>3</v>
      </c>
      <c r="H52" s="23" t="n">
        <f aca="false">IF(Netz!C52=A52,CEILING((E52+G52)/Ports_Agg,1),"")</f>
        <v>1</v>
      </c>
      <c r="I52" s="31" t="n">
        <f aca="false">IF(Netz!C52=A52,SUMIF(Netz!$C$5:$C$92,A52,Netz!$O$5:$O$92),"")</f>
        <v>19.2307860262009</v>
      </c>
      <c r="J52" s="37" t="n">
        <f aca="false">IF(Netz!C52=A52,I52*Bandbreite/Ueberbuchung,"")</f>
        <v>72.1154475982533</v>
      </c>
      <c r="K52" s="23" t="n">
        <f aca="false">IF(Netz!C52=A52,MAX(1,CEILING(J52/Uplink_Kap,1)),"")</f>
        <v>1</v>
      </c>
      <c r="L52" s="38" t="n">
        <f aca="false">IF(Netz!C52=A52,E52*(P_UCG+P_DAC)*EK,"")</f>
        <v>321.3</v>
      </c>
      <c r="M52" s="38" t="n">
        <f aca="false">IF(Netz!C52=A52,(P_KVz+P_USV+P_MontStandort+H52*P_Agg)*EK,"")</f>
        <v>2963.1</v>
      </c>
      <c r="N52" s="38" t="n">
        <f aca="false">IF(Netz!C52=A52,L52+M52,"")</f>
        <v>3284.4</v>
      </c>
      <c r="O52" s="38" t="n">
        <f aca="false">IF(Netz!C52=A52,(K52*Uplink_Monat*12+Strom_Standort+E52*Strom_GW)*EK+N52*Wartung,"")</f>
        <v>1294.482</v>
      </c>
      <c r="P52" s="23" t="str">
        <f aca="false">IF(Netz!C52=A52,IF(E52&gt;Max_GW,"Achtung: mehr als "&amp;Max_GW&amp;" Gateways",IF(K52&gt;1,"OK – "&amp;K52&amp;" Internet-Anschlüsse nötig","OK")),"")</f>
        <v>OK</v>
      </c>
    </row>
    <row r="53" customFormat="false" ht="15" hidden="false" customHeight="false" outlineLevel="0" collapsed="false">
      <c r="A53" s="23" t="n">
        <f aca="false">Anlagen!A53</f>
        <v>49</v>
      </c>
      <c r="B53" s="23" t="str">
        <f aca="false">IF(Netz!C53=A53,Anlagen!B53,"")</f>
        <v>Helgoland</v>
      </c>
      <c r="C53" s="23" t="n">
        <f aca="false">IF(Netz!C53=A53,COUNTIF(Netz!$C$5:$C$92,A53),"")</f>
        <v>9</v>
      </c>
      <c r="D53" s="23" t="n">
        <f aca="false">IF(Netz!C53=A53,SUMIF(Netz!$C$5:$C$92,A53,Anlagen!$F$5:$F$92),"")</f>
        <v>549</v>
      </c>
      <c r="E53" s="23" t="n">
        <f aca="false">IF(Netz!C53=A53,CEILING(D53/PG,1),"")</f>
        <v>10</v>
      </c>
      <c r="F53" s="30" t="n">
        <f aca="false">IF(Netz!C53=A53,D53/(E53*PG),"")</f>
        <v>0.998181818181818</v>
      </c>
      <c r="G53" s="23" t="n">
        <f aca="false">IF(Netz!C53=A53,Investition!E53+COUNTIF(Netz!$D$5:$D$92,A53),"")</f>
        <v>10</v>
      </c>
      <c r="H53" s="23" t="n">
        <f aca="false">IF(Netz!C53=A53,CEILING((E53+G53)/Ports_Agg,1),"")</f>
        <v>3</v>
      </c>
      <c r="I53" s="31" t="n">
        <f aca="false">IF(Netz!C53=A53,SUMIF(Netz!$C$5:$C$92,A53,Netz!$O$5:$O$92),"")</f>
        <v>322.186407223849</v>
      </c>
      <c r="J53" s="37" t="n">
        <f aca="false">IF(Netz!C53=A53,I53*Bandbreite/Ueberbuchung,"")</f>
        <v>1208.19902708943</v>
      </c>
      <c r="K53" s="23" t="n">
        <f aca="false">IF(Netz!C53=A53,MAX(1,CEILING(J53/Uplink_Kap,1)),"")</f>
        <v>2</v>
      </c>
      <c r="L53" s="38" t="n">
        <f aca="false">IF(Netz!C53=A53,E53*(P_UCG+P_DAC)*EK,"")</f>
        <v>3213</v>
      </c>
      <c r="M53" s="38" t="n">
        <f aca="false">IF(Netz!C53=A53,(P_KVz+P_USV+P_MontStandort+H53*P_Agg)*EK,"")</f>
        <v>3534.3</v>
      </c>
      <c r="N53" s="38" t="n">
        <f aca="false">IF(Netz!C53=A53,L53+M53,"")</f>
        <v>6747.3</v>
      </c>
      <c r="O53" s="38" t="n">
        <f aca="false">IF(Netz!C53=A53,(K53*Uplink_Monat*12+Strom_Standort+E53*Strom_GW)*EK+N53*Wartung,"")</f>
        <v>2737.119</v>
      </c>
      <c r="P53" s="23" t="str">
        <f aca="false">IF(Netz!C53=A53,IF(E53&gt;Max_GW,"Achtung: mehr als "&amp;Max_GW&amp;" Gateways",IF(K53&gt;1,"OK – "&amp;K53&amp;" Internet-Anschlüsse nötig","OK")),"")</f>
        <v>OK – 2 Internet-Anschlüsse nötig</v>
      </c>
    </row>
    <row r="54" customFormat="false" ht="15" hidden="false" customHeight="false" outlineLevel="0" collapsed="false">
      <c r="A54" s="23" t="n">
        <f aca="false">Anlagen!A54</f>
        <v>50</v>
      </c>
      <c r="B54" s="23" t="str">
        <f aca="false">IF(Netz!C54=A54,Anlagen!B54,"")</f>
        <v/>
      </c>
      <c r="C54" s="23" t="str">
        <f aca="false">IF(Netz!C54=A54,COUNTIF(Netz!$C$5:$C$92,A54),"")</f>
        <v/>
      </c>
      <c r="D54" s="23" t="str">
        <f aca="false">IF(Netz!C54=A54,SUMIF(Netz!$C$5:$C$92,A54,Anlagen!$F$5:$F$92),"")</f>
        <v/>
      </c>
      <c r="E54" s="23" t="str">
        <f aca="false">IF(Netz!C54=A54,CEILING(D54/PG,1),"")</f>
        <v/>
      </c>
      <c r="F54" s="30" t="str">
        <f aca="false">IF(Netz!C54=A54,D54/(E54*PG),"")</f>
        <v/>
      </c>
      <c r="G54" s="23" t="str">
        <f aca="false">IF(Netz!C54=A54,Investition!E54+COUNTIF(Netz!$D$5:$D$92,A54),"")</f>
        <v/>
      </c>
      <c r="H54" s="23" t="str">
        <f aca="false">IF(Netz!C54=A54,CEILING((E54+G54)/Ports_Agg,1),"")</f>
        <v/>
      </c>
      <c r="I54" s="31" t="str">
        <f aca="false">IF(Netz!C54=A54,SUMIF(Netz!$C$5:$C$92,A54,Netz!$O$5:$O$92),"")</f>
        <v/>
      </c>
      <c r="J54" s="37" t="str">
        <f aca="false">IF(Netz!C54=A54,I54*Bandbreite/Ueberbuchung,"")</f>
        <v/>
      </c>
      <c r="K54" s="23" t="str">
        <f aca="false">IF(Netz!C54=A54,MAX(1,CEILING(J54/Uplink_Kap,1)),"")</f>
        <v/>
      </c>
      <c r="L54" s="38" t="str">
        <f aca="false">IF(Netz!C54=A54,E54*(P_UCG+P_DAC)*EK,"")</f>
        <v/>
      </c>
      <c r="M54" s="38" t="str">
        <f aca="false">IF(Netz!C54=A54,(P_KVz+P_USV+P_MontStandort+H54*P_Agg)*EK,"")</f>
        <v/>
      </c>
      <c r="N54" s="38" t="str">
        <f aca="false">IF(Netz!C54=A54,L54+M54,"")</f>
        <v/>
      </c>
      <c r="O54" s="38" t="str">
        <f aca="false">IF(Netz!C54=A54,(K54*Uplink_Monat*12+Strom_Standort+E54*Strom_GW)*EK+N54*Wartung,"")</f>
        <v/>
      </c>
      <c r="P54" s="23" t="str">
        <f aca="false">IF(Netz!C54=A54,IF(E54&gt;Max_GW,"Achtung: mehr als "&amp;Max_GW&amp;" Gateways",IF(K54&gt;1,"OK – "&amp;K54&amp;" Internet-Anschlüsse nötig","OK")),"")</f>
        <v/>
      </c>
    </row>
    <row r="55" customFormat="false" ht="15" hidden="false" customHeight="false" outlineLevel="0" collapsed="false">
      <c r="A55" s="23" t="n">
        <f aca="false">Anlagen!A55</f>
        <v>51</v>
      </c>
      <c r="B55" s="23" t="str">
        <f aca="false">IF(Netz!C55=A55,Anlagen!B55,"")</f>
        <v/>
      </c>
      <c r="C55" s="23" t="str">
        <f aca="false">IF(Netz!C55=A55,COUNTIF(Netz!$C$5:$C$92,A55),"")</f>
        <v/>
      </c>
      <c r="D55" s="23" t="str">
        <f aca="false">IF(Netz!C55=A55,SUMIF(Netz!$C$5:$C$92,A55,Anlagen!$F$5:$F$92),"")</f>
        <v/>
      </c>
      <c r="E55" s="23" t="str">
        <f aca="false">IF(Netz!C55=A55,CEILING(D55/PG,1),"")</f>
        <v/>
      </c>
      <c r="F55" s="30" t="str">
        <f aca="false">IF(Netz!C55=A55,D55/(E55*PG),"")</f>
        <v/>
      </c>
      <c r="G55" s="23" t="str">
        <f aca="false">IF(Netz!C55=A55,Investition!E55+COUNTIF(Netz!$D$5:$D$92,A55),"")</f>
        <v/>
      </c>
      <c r="H55" s="23" t="str">
        <f aca="false">IF(Netz!C55=A55,CEILING((E55+G55)/Ports_Agg,1),"")</f>
        <v/>
      </c>
      <c r="I55" s="31" t="str">
        <f aca="false">IF(Netz!C55=A55,SUMIF(Netz!$C$5:$C$92,A55,Netz!$O$5:$O$92),"")</f>
        <v/>
      </c>
      <c r="J55" s="37" t="str">
        <f aca="false">IF(Netz!C55=A55,I55*Bandbreite/Ueberbuchung,"")</f>
        <v/>
      </c>
      <c r="K55" s="23" t="str">
        <f aca="false">IF(Netz!C55=A55,MAX(1,CEILING(J55/Uplink_Kap,1)),"")</f>
        <v/>
      </c>
      <c r="L55" s="38" t="str">
        <f aca="false">IF(Netz!C55=A55,E55*(P_UCG+P_DAC)*EK,"")</f>
        <v/>
      </c>
      <c r="M55" s="38" t="str">
        <f aca="false">IF(Netz!C55=A55,(P_KVz+P_USV+P_MontStandort+H55*P_Agg)*EK,"")</f>
        <v/>
      </c>
      <c r="N55" s="38" t="str">
        <f aca="false">IF(Netz!C55=A55,L55+M55,"")</f>
        <v/>
      </c>
      <c r="O55" s="38" t="str">
        <f aca="false">IF(Netz!C55=A55,(K55*Uplink_Monat*12+Strom_Standort+E55*Strom_GW)*EK+N55*Wartung,"")</f>
        <v/>
      </c>
      <c r="P55" s="23" t="str">
        <f aca="false">IF(Netz!C55=A55,IF(E55&gt;Max_GW,"Achtung: mehr als "&amp;Max_GW&amp;" Gateways",IF(K55&gt;1,"OK – "&amp;K55&amp;" Internet-Anschlüsse nötig","OK")),"")</f>
        <v/>
      </c>
    </row>
    <row r="56" customFormat="false" ht="15" hidden="false" customHeight="false" outlineLevel="0" collapsed="false">
      <c r="A56" s="23" t="n">
        <f aca="false">Anlagen!A56</f>
        <v>52</v>
      </c>
      <c r="B56" s="23" t="str">
        <f aca="false">IF(Netz!C56=A56,Anlagen!B56,"")</f>
        <v/>
      </c>
      <c r="C56" s="23" t="str">
        <f aca="false">IF(Netz!C56=A56,COUNTIF(Netz!$C$5:$C$92,A56),"")</f>
        <v/>
      </c>
      <c r="D56" s="23" t="str">
        <f aca="false">IF(Netz!C56=A56,SUMIF(Netz!$C$5:$C$92,A56,Anlagen!$F$5:$F$92),"")</f>
        <v/>
      </c>
      <c r="E56" s="23" t="str">
        <f aca="false">IF(Netz!C56=A56,CEILING(D56/PG,1),"")</f>
        <v/>
      </c>
      <c r="F56" s="30" t="str">
        <f aca="false">IF(Netz!C56=A56,D56/(E56*PG),"")</f>
        <v/>
      </c>
      <c r="G56" s="23" t="str">
        <f aca="false">IF(Netz!C56=A56,Investition!E56+COUNTIF(Netz!$D$5:$D$92,A56),"")</f>
        <v/>
      </c>
      <c r="H56" s="23" t="str">
        <f aca="false">IF(Netz!C56=A56,CEILING((E56+G56)/Ports_Agg,1),"")</f>
        <v/>
      </c>
      <c r="I56" s="31" t="str">
        <f aca="false">IF(Netz!C56=A56,SUMIF(Netz!$C$5:$C$92,A56,Netz!$O$5:$O$92),"")</f>
        <v/>
      </c>
      <c r="J56" s="37" t="str">
        <f aca="false">IF(Netz!C56=A56,I56*Bandbreite/Ueberbuchung,"")</f>
        <v/>
      </c>
      <c r="K56" s="23" t="str">
        <f aca="false">IF(Netz!C56=A56,MAX(1,CEILING(J56/Uplink_Kap,1)),"")</f>
        <v/>
      </c>
      <c r="L56" s="38" t="str">
        <f aca="false">IF(Netz!C56=A56,E56*(P_UCG+P_DAC)*EK,"")</f>
        <v/>
      </c>
      <c r="M56" s="38" t="str">
        <f aca="false">IF(Netz!C56=A56,(P_KVz+P_USV+P_MontStandort+H56*P_Agg)*EK,"")</f>
        <v/>
      </c>
      <c r="N56" s="38" t="str">
        <f aca="false">IF(Netz!C56=A56,L56+M56,"")</f>
        <v/>
      </c>
      <c r="O56" s="38" t="str">
        <f aca="false">IF(Netz!C56=A56,(K56*Uplink_Monat*12+Strom_Standort+E56*Strom_GW)*EK+N56*Wartung,"")</f>
        <v/>
      </c>
      <c r="P56" s="23" t="str">
        <f aca="false">IF(Netz!C56=A56,IF(E56&gt;Max_GW,"Achtung: mehr als "&amp;Max_GW&amp;" Gateways",IF(K56&gt;1,"OK – "&amp;K56&amp;" Internet-Anschlüsse nötig","OK")),"")</f>
        <v/>
      </c>
    </row>
    <row r="57" customFormat="false" ht="15" hidden="false" customHeight="false" outlineLevel="0" collapsed="false">
      <c r="A57" s="23" t="n">
        <f aca="false">Anlagen!A57</f>
        <v>53</v>
      </c>
      <c r="B57" s="23" t="str">
        <f aca="false">IF(Netz!C57=A57,Anlagen!B57,"")</f>
        <v/>
      </c>
      <c r="C57" s="23" t="str">
        <f aca="false">IF(Netz!C57=A57,COUNTIF(Netz!$C$5:$C$92,A57),"")</f>
        <v/>
      </c>
      <c r="D57" s="23" t="str">
        <f aca="false">IF(Netz!C57=A57,SUMIF(Netz!$C$5:$C$92,A57,Anlagen!$F$5:$F$92),"")</f>
        <v/>
      </c>
      <c r="E57" s="23" t="str">
        <f aca="false">IF(Netz!C57=A57,CEILING(D57/PG,1),"")</f>
        <v/>
      </c>
      <c r="F57" s="30" t="str">
        <f aca="false">IF(Netz!C57=A57,D57/(E57*PG),"")</f>
        <v/>
      </c>
      <c r="G57" s="23" t="str">
        <f aca="false">IF(Netz!C57=A57,Investition!E57+COUNTIF(Netz!$D$5:$D$92,A57),"")</f>
        <v/>
      </c>
      <c r="H57" s="23" t="str">
        <f aca="false">IF(Netz!C57=A57,CEILING((E57+G57)/Ports_Agg,1),"")</f>
        <v/>
      </c>
      <c r="I57" s="31" t="str">
        <f aca="false">IF(Netz!C57=A57,SUMIF(Netz!$C$5:$C$92,A57,Netz!$O$5:$O$92),"")</f>
        <v/>
      </c>
      <c r="J57" s="37" t="str">
        <f aca="false">IF(Netz!C57=A57,I57*Bandbreite/Ueberbuchung,"")</f>
        <v/>
      </c>
      <c r="K57" s="23" t="str">
        <f aca="false">IF(Netz!C57=A57,MAX(1,CEILING(J57/Uplink_Kap,1)),"")</f>
        <v/>
      </c>
      <c r="L57" s="38" t="str">
        <f aca="false">IF(Netz!C57=A57,E57*(P_UCG+P_DAC)*EK,"")</f>
        <v/>
      </c>
      <c r="M57" s="38" t="str">
        <f aca="false">IF(Netz!C57=A57,(P_KVz+P_USV+P_MontStandort+H57*P_Agg)*EK,"")</f>
        <v/>
      </c>
      <c r="N57" s="38" t="str">
        <f aca="false">IF(Netz!C57=A57,L57+M57,"")</f>
        <v/>
      </c>
      <c r="O57" s="38" t="str">
        <f aca="false">IF(Netz!C57=A57,(K57*Uplink_Monat*12+Strom_Standort+E57*Strom_GW)*EK+N57*Wartung,"")</f>
        <v/>
      </c>
      <c r="P57" s="23" t="str">
        <f aca="false">IF(Netz!C57=A57,IF(E57&gt;Max_GW,"Achtung: mehr als "&amp;Max_GW&amp;" Gateways",IF(K57&gt;1,"OK – "&amp;K57&amp;" Internet-Anschlüsse nötig","OK")),"")</f>
        <v/>
      </c>
    </row>
    <row r="58" customFormat="false" ht="15" hidden="false" customHeight="false" outlineLevel="0" collapsed="false">
      <c r="A58" s="23" t="n">
        <f aca="false">Anlagen!A58</f>
        <v>54</v>
      </c>
      <c r="B58" s="23" t="str">
        <f aca="false">IF(Netz!C58=A58,Anlagen!B58,"")</f>
        <v/>
      </c>
      <c r="C58" s="23" t="str">
        <f aca="false">IF(Netz!C58=A58,COUNTIF(Netz!$C$5:$C$92,A58),"")</f>
        <v/>
      </c>
      <c r="D58" s="23" t="str">
        <f aca="false">IF(Netz!C58=A58,SUMIF(Netz!$C$5:$C$92,A58,Anlagen!$F$5:$F$92),"")</f>
        <v/>
      </c>
      <c r="E58" s="23" t="str">
        <f aca="false">IF(Netz!C58=A58,CEILING(D58/PG,1),"")</f>
        <v/>
      </c>
      <c r="F58" s="30" t="str">
        <f aca="false">IF(Netz!C58=A58,D58/(E58*PG),"")</f>
        <v/>
      </c>
      <c r="G58" s="23" t="str">
        <f aca="false">IF(Netz!C58=A58,Investition!E58+COUNTIF(Netz!$D$5:$D$92,A58),"")</f>
        <v/>
      </c>
      <c r="H58" s="23" t="str">
        <f aca="false">IF(Netz!C58=A58,CEILING((E58+G58)/Ports_Agg,1),"")</f>
        <v/>
      </c>
      <c r="I58" s="31" t="str">
        <f aca="false">IF(Netz!C58=A58,SUMIF(Netz!$C$5:$C$92,A58,Netz!$O$5:$O$92),"")</f>
        <v/>
      </c>
      <c r="J58" s="37" t="str">
        <f aca="false">IF(Netz!C58=A58,I58*Bandbreite/Ueberbuchung,"")</f>
        <v/>
      </c>
      <c r="K58" s="23" t="str">
        <f aca="false">IF(Netz!C58=A58,MAX(1,CEILING(J58/Uplink_Kap,1)),"")</f>
        <v/>
      </c>
      <c r="L58" s="38" t="str">
        <f aca="false">IF(Netz!C58=A58,E58*(P_UCG+P_DAC)*EK,"")</f>
        <v/>
      </c>
      <c r="M58" s="38" t="str">
        <f aca="false">IF(Netz!C58=A58,(P_KVz+P_USV+P_MontStandort+H58*P_Agg)*EK,"")</f>
        <v/>
      </c>
      <c r="N58" s="38" t="str">
        <f aca="false">IF(Netz!C58=A58,L58+M58,"")</f>
        <v/>
      </c>
      <c r="O58" s="38" t="str">
        <f aca="false">IF(Netz!C58=A58,(K58*Uplink_Monat*12+Strom_Standort+E58*Strom_GW)*EK+N58*Wartung,"")</f>
        <v/>
      </c>
      <c r="P58" s="23" t="str">
        <f aca="false">IF(Netz!C58=A58,IF(E58&gt;Max_GW,"Achtung: mehr als "&amp;Max_GW&amp;" Gateways",IF(K58&gt;1,"OK – "&amp;K58&amp;" Internet-Anschlüsse nötig","OK")),"")</f>
        <v/>
      </c>
    </row>
    <row r="59" customFormat="false" ht="15" hidden="false" customHeight="false" outlineLevel="0" collapsed="false">
      <c r="A59" s="23" t="n">
        <f aca="false">Anlagen!A59</f>
        <v>55</v>
      </c>
      <c r="B59" s="23" t="str">
        <f aca="false">IF(Netz!C59=A59,Anlagen!B59,"")</f>
        <v/>
      </c>
      <c r="C59" s="23" t="str">
        <f aca="false">IF(Netz!C59=A59,COUNTIF(Netz!$C$5:$C$92,A59),"")</f>
        <v/>
      </c>
      <c r="D59" s="23" t="str">
        <f aca="false">IF(Netz!C59=A59,SUMIF(Netz!$C$5:$C$92,A59,Anlagen!$F$5:$F$92),"")</f>
        <v/>
      </c>
      <c r="E59" s="23" t="str">
        <f aca="false">IF(Netz!C59=A59,CEILING(D59/PG,1),"")</f>
        <v/>
      </c>
      <c r="F59" s="30" t="str">
        <f aca="false">IF(Netz!C59=A59,D59/(E59*PG),"")</f>
        <v/>
      </c>
      <c r="G59" s="23" t="str">
        <f aca="false">IF(Netz!C59=A59,Investition!E59+COUNTIF(Netz!$D$5:$D$92,A59),"")</f>
        <v/>
      </c>
      <c r="H59" s="23" t="str">
        <f aca="false">IF(Netz!C59=A59,CEILING((E59+G59)/Ports_Agg,1),"")</f>
        <v/>
      </c>
      <c r="I59" s="31" t="str">
        <f aca="false">IF(Netz!C59=A59,SUMIF(Netz!$C$5:$C$92,A59,Netz!$O$5:$O$92),"")</f>
        <v/>
      </c>
      <c r="J59" s="37" t="str">
        <f aca="false">IF(Netz!C59=A59,I59*Bandbreite/Ueberbuchung,"")</f>
        <v/>
      </c>
      <c r="K59" s="23" t="str">
        <f aca="false">IF(Netz!C59=A59,MAX(1,CEILING(J59/Uplink_Kap,1)),"")</f>
        <v/>
      </c>
      <c r="L59" s="38" t="str">
        <f aca="false">IF(Netz!C59=A59,E59*(P_UCG+P_DAC)*EK,"")</f>
        <v/>
      </c>
      <c r="M59" s="38" t="str">
        <f aca="false">IF(Netz!C59=A59,(P_KVz+P_USV+P_MontStandort+H59*P_Agg)*EK,"")</f>
        <v/>
      </c>
      <c r="N59" s="38" t="str">
        <f aca="false">IF(Netz!C59=A59,L59+M59,"")</f>
        <v/>
      </c>
      <c r="O59" s="38" t="str">
        <f aca="false">IF(Netz!C59=A59,(K59*Uplink_Monat*12+Strom_Standort+E59*Strom_GW)*EK+N59*Wartung,"")</f>
        <v/>
      </c>
      <c r="P59" s="23" t="str">
        <f aca="false">IF(Netz!C59=A59,IF(E59&gt;Max_GW,"Achtung: mehr als "&amp;Max_GW&amp;" Gateways",IF(K59&gt;1,"OK – "&amp;K59&amp;" Internet-Anschlüsse nötig","OK")),"")</f>
        <v/>
      </c>
    </row>
    <row r="60" customFormat="false" ht="15" hidden="false" customHeight="false" outlineLevel="0" collapsed="false">
      <c r="A60" s="23" t="n">
        <f aca="false">Anlagen!A60</f>
        <v>56</v>
      </c>
      <c r="B60" s="23" t="str">
        <f aca="false">IF(Netz!C60=A60,Anlagen!B60,"")</f>
        <v>Kammgarn</v>
      </c>
      <c r="C60" s="23" t="n">
        <f aca="false">IF(Netz!C60=A60,COUNTIF(Netz!$C$5:$C$92,A60),"")</f>
        <v>5</v>
      </c>
      <c r="D60" s="23" t="n">
        <f aca="false">IF(Netz!C60=A60,SUMIF(Netz!$C$5:$C$92,A60,Anlagen!$F$5:$F$92),"")</f>
        <v>93</v>
      </c>
      <c r="E60" s="23" t="n">
        <f aca="false">IF(Netz!C60=A60,CEILING(D60/PG,1),"")</f>
        <v>2</v>
      </c>
      <c r="F60" s="30" t="n">
        <f aca="false">IF(Netz!C60=A60,D60/(E60*PG),"")</f>
        <v>0.845454545454546</v>
      </c>
      <c r="G60" s="23" t="n">
        <f aca="false">IF(Netz!C60=A60,Investition!E60+COUNTIF(Netz!$D$5:$D$92,A60),"")</f>
        <v>5</v>
      </c>
      <c r="H60" s="23" t="n">
        <f aca="false">IF(Netz!C60=A60,CEILING((E60+G60)/Ports_Agg,1),"")</f>
        <v>1</v>
      </c>
      <c r="I60" s="31" t="n">
        <f aca="false">IF(Netz!C60=A60,SUMIF(Netz!$C$5:$C$92,A60,Netz!$O$5:$O$92),"")</f>
        <v>51.3777695061158</v>
      </c>
      <c r="J60" s="37" t="n">
        <f aca="false">IF(Netz!C60=A60,I60*Bandbreite/Ueberbuchung,"")</f>
        <v>192.666635647934</v>
      </c>
      <c r="K60" s="23" t="n">
        <f aca="false">IF(Netz!C60=A60,MAX(1,CEILING(J60/Uplink_Kap,1)),"")</f>
        <v>1</v>
      </c>
      <c r="L60" s="38" t="n">
        <f aca="false">IF(Netz!C60=A60,E60*(P_UCG+P_DAC)*EK,"")</f>
        <v>642.6</v>
      </c>
      <c r="M60" s="38" t="n">
        <f aca="false">IF(Netz!C60=A60,(P_KVz+P_USV+P_MontStandort+H60*P_Agg)*EK,"")</f>
        <v>2963.1</v>
      </c>
      <c r="N60" s="38" t="n">
        <f aca="false">IF(Netz!C60=A60,L60+M60,"")</f>
        <v>3605.7</v>
      </c>
      <c r="O60" s="38" t="n">
        <f aca="false">IF(Netz!C60=A60,(K60*Uplink_Monat*12+Strom_Standort+E60*Strom_GW)*EK+N60*Wartung,"")</f>
        <v>1333.871</v>
      </c>
      <c r="P60" s="23" t="str">
        <f aca="false">IF(Netz!C60=A60,IF(E60&gt;Max_GW,"Achtung: mehr als "&amp;Max_GW&amp;" Gateways",IF(K60&gt;1,"OK – "&amp;K60&amp;" Internet-Anschlüsse nötig","OK")),"")</f>
        <v>OK</v>
      </c>
    </row>
    <row r="61" customFormat="false" ht="15" hidden="false" customHeight="false" outlineLevel="0" collapsed="false">
      <c r="A61" s="23" t="n">
        <f aca="false">Anlagen!A61</f>
        <v>57</v>
      </c>
      <c r="B61" s="23" t="str">
        <f aca="false">IF(Netz!C61=A61,Anlagen!B61,"")</f>
        <v>Kirchmöser-Dorf</v>
      </c>
      <c r="C61" s="23" t="n">
        <f aca="false">IF(Netz!C61=A61,COUNTIF(Netz!$C$5:$C$92,A61),"")</f>
        <v>2</v>
      </c>
      <c r="D61" s="23" t="n">
        <f aca="false">IF(Netz!C61=A61,SUMIF(Netz!$C$5:$C$92,A61,Anlagen!$F$5:$F$92),"")</f>
        <v>96</v>
      </c>
      <c r="E61" s="23" t="n">
        <f aca="false">IF(Netz!C61=A61,CEILING(D61/PG,1),"")</f>
        <v>2</v>
      </c>
      <c r="F61" s="30" t="n">
        <f aca="false">IF(Netz!C61=A61,D61/(E61*PG),"")</f>
        <v>0.872727272727273</v>
      </c>
      <c r="G61" s="23" t="n">
        <f aca="false">IF(Netz!C61=A61,Investition!E61+COUNTIF(Netz!$D$5:$D$92,A61),"")</f>
        <v>5</v>
      </c>
      <c r="H61" s="23" t="n">
        <f aca="false">IF(Netz!C61=A61,CEILING((E61+G61)/Ports_Agg,1),"")</f>
        <v>1</v>
      </c>
      <c r="I61" s="31" t="n">
        <f aca="false">IF(Netz!C61=A61,SUMIF(Netz!$C$5:$C$92,A61,Netz!$O$5:$O$92),"")</f>
        <v>49.6445544258373</v>
      </c>
      <c r="J61" s="37" t="n">
        <f aca="false">IF(Netz!C61=A61,I61*Bandbreite/Ueberbuchung,"")</f>
        <v>186.16707909689</v>
      </c>
      <c r="K61" s="23" t="n">
        <f aca="false">IF(Netz!C61=A61,MAX(1,CEILING(J61/Uplink_Kap,1)),"")</f>
        <v>1</v>
      </c>
      <c r="L61" s="38" t="n">
        <f aca="false">IF(Netz!C61=A61,E61*(P_UCG+P_DAC)*EK,"")</f>
        <v>642.6</v>
      </c>
      <c r="M61" s="38" t="n">
        <f aca="false">IF(Netz!C61=A61,(P_KVz+P_USV+P_MontStandort+H61*P_Agg)*EK,"")</f>
        <v>2963.1</v>
      </c>
      <c r="N61" s="38" t="n">
        <f aca="false">IF(Netz!C61=A61,L61+M61,"")</f>
        <v>3605.7</v>
      </c>
      <c r="O61" s="38" t="n">
        <f aca="false">IF(Netz!C61=A61,(K61*Uplink_Monat*12+Strom_Standort+E61*Strom_GW)*EK+N61*Wartung,"")</f>
        <v>1333.871</v>
      </c>
      <c r="P61" s="23" t="str">
        <f aca="false">IF(Netz!C61=A61,IF(E61&gt;Max_GW,"Achtung: mehr als "&amp;Max_GW&amp;" Gateways",IF(K61&gt;1,"OK – "&amp;K61&amp;" Internet-Anschlüsse nötig","OK")),"")</f>
        <v>OK</v>
      </c>
    </row>
    <row r="62" customFormat="false" ht="15" hidden="false" customHeight="false" outlineLevel="0" collapsed="false">
      <c r="A62" s="23" t="n">
        <f aca="false">Anlagen!A62</f>
        <v>58</v>
      </c>
      <c r="B62" s="23" t="str">
        <f aca="false">IF(Netz!C62=A62,Anlagen!B62,"")</f>
        <v/>
      </c>
      <c r="C62" s="23" t="str">
        <f aca="false">IF(Netz!C62=A62,COUNTIF(Netz!$C$5:$C$92,A62),"")</f>
        <v/>
      </c>
      <c r="D62" s="23" t="str">
        <f aca="false">IF(Netz!C62=A62,SUMIF(Netz!$C$5:$C$92,A62,Anlagen!$F$5:$F$92),"")</f>
        <v/>
      </c>
      <c r="E62" s="23" t="str">
        <f aca="false">IF(Netz!C62=A62,CEILING(D62/PG,1),"")</f>
        <v/>
      </c>
      <c r="F62" s="30" t="str">
        <f aca="false">IF(Netz!C62=A62,D62/(E62*PG),"")</f>
        <v/>
      </c>
      <c r="G62" s="23" t="str">
        <f aca="false">IF(Netz!C62=A62,Investition!E62+COUNTIF(Netz!$D$5:$D$92,A62),"")</f>
        <v/>
      </c>
      <c r="H62" s="23" t="str">
        <f aca="false">IF(Netz!C62=A62,CEILING((E62+G62)/Ports_Agg,1),"")</f>
        <v/>
      </c>
      <c r="I62" s="31" t="str">
        <f aca="false">IF(Netz!C62=A62,SUMIF(Netz!$C$5:$C$92,A62,Netz!$O$5:$O$92),"")</f>
        <v/>
      </c>
      <c r="J62" s="37" t="str">
        <f aca="false">IF(Netz!C62=A62,I62*Bandbreite/Ueberbuchung,"")</f>
        <v/>
      </c>
      <c r="K62" s="23" t="str">
        <f aca="false">IF(Netz!C62=A62,MAX(1,CEILING(J62/Uplink_Kap,1)),"")</f>
        <v/>
      </c>
      <c r="L62" s="38" t="str">
        <f aca="false">IF(Netz!C62=A62,E62*(P_UCG+P_DAC)*EK,"")</f>
        <v/>
      </c>
      <c r="M62" s="38" t="str">
        <f aca="false">IF(Netz!C62=A62,(P_KVz+P_USV+P_MontStandort+H62*P_Agg)*EK,"")</f>
        <v/>
      </c>
      <c r="N62" s="38" t="str">
        <f aca="false">IF(Netz!C62=A62,L62+M62,"")</f>
        <v/>
      </c>
      <c r="O62" s="38" t="str">
        <f aca="false">IF(Netz!C62=A62,(K62*Uplink_Monat*12+Strom_Standort+E62*Strom_GW)*EK+N62*Wartung,"")</f>
        <v/>
      </c>
      <c r="P62" s="23" t="str">
        <f aca="false">IF(Netz!C62=A62,IF(E62&gt;Max_GW,"Achtung: mehr als "&amp;Max_GW&amp;" Gateways",IF(K62&gt;1,"OK – "&amp;K62&amp;" Internet-Anschlüsse nötig","OK")),"")</f>
        <v/>
      </c>
    </row>
    <row r="63" customFormat="false" ht="15" hidden="false" customHeight="false" outlineLevel="0" collapsed="false">
      <c r="A63" s="23" t="n">
        <f aca="false">Anlagen!A63</f>
        <v>59</v>
      </c>
      <c r="B63" s="23" t="str">
        <f aca="false">IF(Netz!C63=A63,Anlagen!B63,"")</f>
        <v>Kirchmöser-Ost</v>
      </c>
      <c r="C63" s="23" t="n">
        <f aca="false">IF(Netz!C63=A63,COUNTIF(Netz!$C$5:$C$92,A63),"")</f>
        <v>2</v>
      </c>
      <c r="D63" s="23" t="n">
        <f aca="false">IF(Netz!C63=A63,SUMIF(Netz!$C$5:$C$92,A63,Anlagen!$F$5:$F$92),"")</f>
        <v>104</v>
      </c>
      <c r="E63" s="23" t="n">
        <f aca="false">IF(Netz!C63=A63,CEILING(D63/PG,1),"")</f>
        <v>2</v>
      </c>
      <c r="F63" s="30" t="n">
        <f aca="false">IF(Netz!C63=A63,D63/(E63*PG),"")</f>
        <v>0.945454545454545</v>
      </c>
      <c r="G63" s="23" t="n">
        <f aca="false">IF(Netz!C63=A63,Investition!E63+COUNTIF(Netz!$D$5:$D$92,A63),"")</f>
        <v>6</v>
      </c>
      <c r="H63" s="23" t="n">
        <f aca="false">IF(Netz!C63=A63,CEILING((E63+G63)/Ports_Agg,1),"")</f>
        <v>1</v>
      </c>
      <c r="I63" s="31" t="n">
        <f aca="false">IF(Netz!C63=A63,SUMIF(Netz!$C$5:$C$92,A63,Netz!$O$5:$O$92),"")</f>
        <v>57.6442905691199</v>
      </c>
      <c r="J63" s="37" t="n">
        <f aca="false">IF(Netz!C63=A63,I63*Bandbreite/Ueberbuchung,"")</f>
        <v>216.1660896342</v>
      </c>
      <c r="K63" s="23" t="n">
        <f aca="false">IF(Netz!C63=A63,MAX(1,CEILING(J63/Uplink_Kap,1)),"")</f>
        <v>1</v>
      </c>
      <c r="L63" s="38" t="n">
        <f aca="false">IF(Netz!C63=A63,E63*(P_UCG+P_DAC)*EK,"")</f>
        <v>642.6</v>
      </c>
      <c r="M63" s="38" t="n">
        <f aca="false">IF(Netz!C63=A63,(P_KVz+P_USV+P_MontStandort+H63*P_Agg)*EK,"")</f>
        <v>2963.1</v>
      </c>
      <c r="N63" s="38" t="n">
        <f aca="false">IF(Netz!C63=A63,L63+M63,"")</f>
        <v>3605.7</v>
      </c>
      <c r="O63" s="38" t="n">
        <f aca="false">IF(Netz!C63=A63,(K63*Uplink_Monat*12+Strom_Standort+E63*Strom_GW)*EK+N63*Wartung,"")</f>
        <v>1333.871</v>
      </c>
      <c r="P63" s="23" t="str">
        <f aca="false">IF(Netz!C63=A63,IF(E63&gt;Max_GW,"Achtung: mehr als "&amp;Max_GW&amp;" Gateways",IF(K63&gt;1,"OK – "&amp;K63&amp;" Internet-Anschlüsse nötig","OK")),"")</f>
        <v>OK</v>
      </c>
    </row>
    <row r="64" customFormat="false" ht="15" hidden="false" customHeight="false" outlineLevel="0" collapsed="false">
      <c r="A64" s="23" t="n">
        <f aca="false">Anlagen!A64</f>
        <v>60</v>
      </c>
      <c r="B64" s="23" t="str">
        <f aca="false">IF(Netz!C64=A64,Anlagen!B64,"")</f>
        <v/>
      </c>
      <c r="C64" s="23" t="str">
        <f aca="false">IF(Netz!C64=A64,COUNTIF(Netz!$C$5:$C$92,A64),"")</f>
        <v/>
      </c>
      <c r="D64" s="23" t="str">
        <f aca="false">IF(Netz!C64=A64,SUMIF(Netz!$C$5:$C$92,A64,Anlagen!$F$5:$F$92),"")</f>
        <v/>
      </c>
      <c r="E64" s="23" t="str">
        <f aca="false">IF(Netz!C64=A64,CEILING(D64/PG,1),"")</f>
        <v/>
      </c>
      <c r="F64" s="30" t="str">
        <f aca="false">IF(Netz!C64=A64,D64/(E64*PG),"")</f>
        <v/>
      </c>
      <c r="G64" s="23" t="str">
        <f aca="false">IF(Netz!C64=A64,Investition!E64+COUNTIF(Netz!$D$5:$D$92,A64),"")</f>
        <v/>
      </c>
      <c r="H64" s="23" t="str">
        <f aca="false">IF(Netz!C64=A64,CEILING((E64+G64)/Ports_Agg,1),"")</f>
        <v/>
      </c>
      <c r="I64" s="31" t="str">
        <f aca="false">IF(Netz!C64=A64,SUMIF(Netz!$C$5:$C$92,A64,Netz!$O$5:$O$92),"")</f>
        <v/>
      </c>
      <c r="J64" s="37" t="str">
        <f aca="false">IF(Netz!C64=A64,I64*Bandbreite/Ueberbuchung,"")</f>
        <v/>
      </c>
      <c r="K64" s="23" t="str">
        <f aca="false">IF(Netz!C64=A64,MAX(1,CEILING(J64/Uplink_Kap,1)),"")</f>
        <v/>
      </c>
      <c r="L64" s="38" t="str">
        <f aca="false">IF(Netz!C64=A64,E64*(P_UCG+P_DAC)*EK,"")</f>
        <v/>
      </c>
      <c r="M64" s="38" t="str">
        <f aca="false">IF(Netz!C64=A64,(P_KVz+P_USV+P_MontStandort+H64*P_Agg)*EK,"")</f>
        <v/>
      </c>
      <c r="N64" s="38" t="str">
        <f aca="false">IF(Netz!C64=A64,L64+M64,"")</f>
        <v/>
      </c>
      <c r="O64" s="38" t="str">
        <f aca="false">IF(Netz!C64=A64,(K64*Uplink_Monat*12+Strom_Standort+E64*Strom_GW)*EK+N64*Wartung,"")</f>
        <v/>
      </c>
      <c r="P64" s="23" t="str">
        <f aca="false">IF(Netz!C64=A64,IF(E64&gt;Max_GW,"Achtung: mehr als "&amp;Max_GW&amp;" Gateways",IF(K64&gt;1,"OK – "&amp;K64&amp;" Internet-Anschlüsse nötig","OK")),"")</f>
        <v/>
      </c>
    </row>
    <row r="65" customFormat="false" ht="15" hidden="false" customHeight="false" outlineLevel="0" collapsed="false">
      <c r="A65" s="23" t="n">
        <f aca="false">Anlagen!A65</f>
        <v>61</v>
      </c>
      <c r="B65" s="23" t="str">
        <f aca="false">IF(Netz!C65=A65,Anlagen!B65,"")</f>
        <v/>
      </c>
      <c r="C65" s="23" t="str">
        <f aca="false">IF(Netz!C65=A65,COUNTIF(Netz!$C$5:$C$92,A65),"")</f>
        <v/>
      </c>
      <c r="D65" s="23" t="str">
        <f aca="false">IF(Netz!C65=A65,SUMIF(Netz!$C$5:$C$92,A65,Anlagen!$F$5:$F$92),"")</f>
        <v/>
      </c>
      <c r="E65" s="23" t="str">
        <f aca="false">IF(Netz!C65=A65,CEILING(D65/PG,1),"")</f>
        <v/>
      </c>
      <c r="F65" s="30" t="str">
        <f aca="false">IF(Netz!C65=A65,D65/(E65*PG),"")</f>
        <v/>
      </c>
      <c r="G65" s="23" t="str">
        <f aca="false">IF(Netz!C65=A65,Investition!E65+COUNTIF(Netz!$D$5:$D$92,A65),"")</f>
        <v/>
      </c>
      <c r="H65" s="23" t="str">
        <f aca="false">IF(Netz!C65=A65,CEILING((E65+G65)/Ports_Agg,1),"")</f>
        <v/>
      </c>
      <c r="I65" s="31" t="str">
        <f aca="false">IF(Netz!C65=A65,SUMIF(Netz!$C$5:$C$92,A65,Netz!$O$5:$O$92),"")</f>
        <v/>
      </c>
      <c r="J65" s="37" t="str">
        <f aca="false">IF(Netz!C65=A65,I65*Bandbreite/Ueberbuchung,"")</f>
        <v/>
      </c>
      <c r="K65" s="23" t="str">
        <f aca="false">IF(Netz!C65=A65,MAX(1,CEILING(J65/Uplink_Kap,1)),"")</f>
        <v/>
      </c>
      <c r="L65" s="38" t="str">
        <f aca="false">IF(Netz!C65=A65,E65*(P_UCG+P_DAC)*EK,"")</f>
        <v/>
      </c>
      <c r="M65" s="38" t="str">
        <f aca="false">IF(Netz!C65=A65,(P_KVz+P_USV+P_MontStandort+H65*P_Agg)*EK,"")</f>
        <v/>
      </c>
      <c r="N65" s="38" t="str">
        <f aca="false">IF(Netz!C65=A65,L65+M65,"")</f>
        <v/>
      </c>
      <c r="O65" s="38" t="str">
        <f aca="false">IF(Netz!C65=A65,(K65*Uplink_Monat*12+Strom_Standort+E65*Strom_GW)*EK+N65*Wartung,"")</f>
        <v/>
      </c>
      <c r="P65" s="23" t="str">
        <f aca="false">IF(Netz!C65=A65,IF(E65&gt;Max_GW,"Achtung: mehr als "&amp;Max_GW&amp;" Gateways",IF(K65&gt;1,"OK – "&amp;K65&amp;" Internet-Anschlüsse nötig","OK")),"")</f>
        <v/>
      </c>
    </row>
    <row r="66" customFormat="false" ht="15" hidden="false" customHeight="false" outlineLevel="0" collapsed="false">
      <c r="A66" s="23" t="n">
        <f aca="false">Anlagen!A66</f>
        <v>62</v>
      </c>
      <c r="B66" s="23" t="str">
        <f aca="false">IF(Netz!C66=A66,Anlagen!B66,"")</f>
        <v/>
      </c>
      <c r="C66" s="23" t="str">
        <f aca="false">IF(Netz!C66=A66,COUNTIF(Netz!$C$5:$C$92,A66),"")</f>
        <v/>
      </c>
      <c r="D66" s="23" t="str">
        <f aca="false">IF(Netz!C66=A66,SUMIF(Netz!$C$5:$C$92,A66,Anlagen!$F$5:$F$92),"")</f>
        <v/>
      </c>
      <c r="E66" s="23" t="str">
        <f aca="false">IF(Netz!C66=A66,CEILING(D66/PG,1),"")</f>
        <v/>
      </c>
      <c r="F66" s="30" t="str">
        <f aca="false">IF(Netz!C66=A66,D66/(E66*PG),"")</f>
        <v/>
      </c>
      <c r="G66" s="23" t="str">
        <f aca="false">IF(Netz!C66=A66,Investition!E66+COUNTIF(Netz!$D$5:$D$92,A66),"")</f>
        <v/>
      </c>
      <c r="H66" s="23" t="str">
        <f aca="false">IF(Netz!C66=A66,CEILING((E66+G66)/Ports_Agg,1),"")</f>
        <v/>
      </c>
      <c r="I66" s="31" t="str">
        <f aca="false">IF(Netz!C66=A66,SUMIF(Netz!$C$5:$C$92,A66,Netz!$O$5:$O$92),"")</f>
        <v/>
      </c>
      <c r="J66" s="37" t="str">
        <f aca="false">IF(Netz!C66=A66,I66*Bandbreite/Ueberbuchung,"")</f>
        <v/>
      </c>
      <c r="K66" s="23" t="str">
        <f aca="false">IF(Netz!C66=A66,MAX(1,CEILING(J66/Uplink_Kap,1)),"")</f>
        <v/>
      </c>
      <c r="L66" s="38" t="str">
        <f aca="false">IF(Netz!C66=A66,E66*(P_UCG+P_DAC)*EK,"")</f>
        <v/>
      </c>
      <c r="M66" s="38" t="str">
        <f aca="false">IF(Netz!C66=A66,(P_KVz+P_USV+P_MontStandort+H66*P_Agg)*EK,"")</f>
        <v/>
      </c>
      <c r="N66" s="38" t="str">
        <f aca="false">IF(Netz!C66=A66,L66+M66,"")</f>
        <v/>
      </c>
      <c r="O66" s="38" t="str">
        <f aca="false">IF(Netz!C66=A66,(K66*Uplink_Monat*12+Strom_Standort+E66*Strom_GW)*EK+N66*Wartung,"")</f>
        <v/>
      </c>
      <c r="P66" s="23" t="str">
        <f aca="false">IF(Netz!C66=A66,IF(E66&gt;Max_GW,"Achtung: mehr als "&amp;Max_GW&amp;" Gateways",IF(K66&gt;1,"OK – "&amp;K66&amp;" Internet-Anschlüsse nötig","OK")),"")</f>
        <v/>
      </c>
    </row>
    <row r="67" customFormat="false" ht="15" hidden="false" customHeight="false" outlineLevel="0" collapsed="false">
      <c r="A67" s="23" t="n">
        <f aca="false">Anlagen!A67</f>
        <v>63</v>
      </c>
      <c r="B67" s="23" t="str">
        <f aca="false">IF(Netz!C67=A67,Anlagen!B67,"")</f>
        <v/>
      </c>
      <c r="C67" s="23" t="str">
        <f aca="false">IF(Netz!C67=A67,COUNTIF(Netz!$C$5:$C$92,A67),"")</f>
        <v/>
      </c>
      <c r="D67" s="23" t="str">
        <f aca="false">IF(Netz!C67=A67,SUMIF(Netz!$C$5:$C$92,A67,Anlagen!$F$5:$F$92),"")</f>
        <v/>
      </c>
      <c r="E67" s="23" t="str">
        <f aca="false">IF(Netz!C67=A67,CEILING(D67/PG,1),"")</f>
        <v/>
      </c>
      <c r="F67" s="30" t="str">
        <f aca="false">IF(Netz!C67=A67,D67/(E67*PG),"")</f>
        <v/>
      </c>
      <c r="G67" s="23" t="str">
        <f aca="false">IF(Netz!C67=A67,Investition!E67+COUNTIF(Netz!$D$5:$D$92,A67),"")</f>
        <v/>
      </c>
      <c r="H67" s="23" t="str">
        <f aca="false">IF(Netz!C67=A67,CEILING((E67+G67)/Ports_Agg,1),"")</f>
        <v/>
      </c>
      <c r="I67" s="31" t="str">
        <f aca="false">IF(Netz!C67=A67,SUMIF(Netz!$C$5:$C$92,A67,Netz!$O$5:$O$92),"")</f>
        <v/>
      </c>
      <c r="J67" s="37" t="str">
        <f aca="false">IF(Netz!C67=A67,I67*Bandbreite/Ueberbuchung,"")</f>
        <v/>
      </c>
      <c r="K67" s="23" t="str">
        <f aca="false">IF(Netz!C67=A67,MAX(1,CEILING(J67/Uplink_Kap,1)),"")</f>
        <v/>
      </c>
      <c r="L67" s="38" t="str">
        <f aca="false">IF(Netz!C67=A67,E67*(P_UCG+P_DAC)*EK,"")</f>
        <v/>
      </c>
      <c r="M67" s="38" t="str">
        <f aca="false">IF(Netz!C67=A67,(P_KVz+P_USV+P_MontStandort+H67*P_Agg)*EK,"")</f>
        <v/>
      </c>
      <c r="N67" s="38" t="str">
        <f aca="false">IF(Netz!C67=A67,L67+M67,"")</f>
        <v/>
      </c>
      <c r="O67" s="38" t="str">
        <f aca="false">IF(Netz!C67=A67,(K67*Uplink_Monat*12+Strom_Standort+E67*Strom_GW)*EK+N67*Wartung,"")</f>
        <v/>
      </c>
      <c r="P67" s="23" t="str">
        <f aca="false">IF(Netz!C67=A67,IF(E67&gt;Max_GW,"Achtung: mehr als "&amp;Max_GW&amp;" Gateways",IF(K67&gt;1,"OK – "&amp;K67&amp;" Internet-Anschlüsse nötig","OK")),"")</f>
        <v/>
      </c>
    </row>
    <row r="68" customFormat="false" ht="15" hidden="false" customHeight="false" outlineLevel="0" collapsed="false">
      <c r="A68" s="23" t="n">
        <f aca="false">Anlagen!A68</f>
        <v>64</v>
      </c>
      <c r="B68" s="23" t="str">
        <f aca="false">IF(Netz!C68=A68,Anlagen!B68,"")</f>
        <v/>
      </c>
      <c r="C68" s="23" t="str">
        <f aca="false">IF(Netz!C68=A68,COUNTIF(Netz!$C$5:$C$92,A68),"")</f>
        <v/>
      </c>
      <c r="D68" s="23" t="str">
        <f aca="false">IF(Netz!C68=A68,SUMIF(Netz!$C$5:$C$92,A68,Anlagen!$F$5:$F$92),"")</f>
        <v/>
      </c>
      <c r="E68" s="23" t="str">
        <f aca="false">IF(Netz!C68=A68,CEILING(D68/PG,1),"")</f>
        <v/>
      </c>
      <c r="F68" s="30" t="str">
        <f aca="false">IF(Netz!C68=A68,D68/(E68*PG),"")</f>
        <v/>
      </c>
      <c r="G68" s="23" t="str">
        <f aca="false">IF(Netz!C68=A68,Investition!E68+COUNTIF(Netz!$D$5:$D$92,A68),"")</f>
        <v/>
      </c>
      <c r="H68" s="23" t="str">
        <f aca="false">IF(Netz!C68=A68,CEILING((E68+G68)/Ports_Agg,1),"")</f>
        <v/>
      </c>
      <c r="I68" s="31" t="str">
        <f aca="false">IF(Netz!C68=A68,SUMIF(Netz!$C$5:$C$92,A68,Netz!$O$5:$O$92),"")</f>
        <v/>
      </c>
      <c r="J68" s="37" t="str">
        <f aca="false">IF(Netz!C68=A68,I68*Bandbreite/Ueberbuchung,"")</f>
        <v/>
      </c>
      <c r="K68" s="23" t="str">
        <f aca="false">IF(Netz!C68=A68,MAX(1,CEILING(J68/Uplink_Kap,1)),"")</f>
        <v/>
      </c>
      <c r="L68" s="38" t="str">
        <f aca="false">IF(Netz!C68=A68,E68*(P_UCG+P_DAC)*EK,"")</f>
        <v/>
      </c>
      <c r="M68" s="38" t="str">
        <f aca="false">IF(Netz!C68=A68,(P_KVz+P_USV+P_MontStandort+H68*P_Agg)*EK,"")</f>
        <v/>
      </c>
      <c r="N68" s="38" t="str">
        <f aca="false">IF(Netz!C68=A68,L68+M68,"")</f>
        <v/>
      </c>
      <c r="O68" s="38" t="str">
        <f aca="false">IF(Netz!C68=A68,(K68*Uplink_Monat*12+Strom_Standort+E68*Strom_GW)*EK+N68*Wartung,"")</f>
        <v/>
      </c>
      <c r="P68" s="23" t="str">
        <f aca="false">IF(Netz!C68=A68,IF(E68&gt;Max_GW,"Achtung: mehr als "&amp;Max_GW&amp;" Gateways",IF(K68&gt;1,"OK – "&amp;K68&amp;" Internet-Anschlüsse nötig","OK")),"")</f>
        <v/>
      </c>
    </row>
    <row r="69" customFormat="false" ht="15" hidden="false" customHeight="false" outlineLevel="0" collapsed="false">
      <c r="A69" s="23" t="n">
        <f aca="false">Anlagen!A69</f>
        <v>65</v>
      </c>
      <c r="B69" s="23" t="str">
        <f aca="false">IF(Netz!C69=A69,Anlagen!B69,"")</f>
        <v/>
      </c>
      <c r="C69" s="23" t="str">
        <f aca="false">IF(Netz!C69=A69,COUNTIF(Netz!$C$5:$C$92,A69),"")</f>
        <v/>
      </c>
      <c r="D69" s="23" t="str">
        <f aca="false">IF(Netz!C69=A69,SUMIF(Netz!$C$5:$C$92,A69,Anlagen!$F$5:$F$92),"")</f>
        <v/>
      </c>
      <c r="E69" s="23" t="str">
        <f aca="false">IF(Netz!C69=A69,CEILING(D69/PG,1),"")</f>
        <v/>
      </c>
      <c r="F69" s="30" t="str">
        <f aca="false">IF(Netz!C69=A69,D69/(E69*PG),"")</f>
        <v/>
      </c>
      <c r="G69" s="23" t="str">
        <f aca="false">IF(Netz!C69=A69,Investition!E69+COUNTIF(Netz!$D$5:$D$92,A69),"")</f>
        <v/>
      </c>
      <c r="H69" s="23" t="str">
        <f aca="false">IF(Netz!C69=A69,CEILING((E69+G69)/Ports_Agg,1),"")</f>
        <v/>
      </c>
      <c r="I69" s="31" t="str">
        <f aca="false">IF(Netz!C69=A69,SUMIF(Netz!$C$5:$C$92,A69,Netz!$O$5:$O$92),"")</f>
        <v/>
      </c>
      <c r="J69" s="37" t="str">
        <f aca="false">IF(Netz!C69=A69,I69*Bandbreite/Ueberbuchung,"")</f>
        <v/>
      </c>
      <c r="K69" s="23" t="str">
        <f aca="false">IF(Netz!C69=A69,MAX(1,CEILING(J69/Uplink_Kap,1)),"")</f>
        <v/>
      </c>
      <c r="L69" s="38" t="str">
        <f aca="false">IF(Netz!C69=A69,E69*(P_UCG+P_DAC)*EK,"")</f>
        <v/>
      </c>
      <c r="M69" s="38" t="str">
        <f aca="false">IF(Netz!C69=A69,(P_KVz+P_USV+P_MontStandort+H69*P_Agg)*EK,"")</f>
        <v/>
      </c>
      <c r="N69" s="38" t="str">
        <f aca="false">IF(Netz!C69=A69,L69+M69,"")</f>
        <v/>
      </c>
      <c r="O69" s="38" t="str">
        <f aca="false">IF(Netz!C69=A69,(K69*Uplink_Monat*12+Strom_Standort+E69*Strom_GW)*EK+N69*Wartung,"")</f>
        <v/>
      </c>
      <c r="P69" s="23" t="str">
        <f aca="false">IF(Netz!C69=A69,IF(E69&gt;Max_GW,"Achtung: mehr als "&amp;Max_GW&amp;" Gateways",IF(K69&gt;1,"OK – "&amp;K69&amp;" Internet-Anschlüsse nötig","OK")),"")</f>
        <v/>
      </c>
    </row>
    <row r="70" customFormat="false" ht="15" hidden="false" customHeight="false" outlineLevel="0" collapsed="false">
      <c r="A70" s="23" t="n">
        <f aca="false">Anlagen!A70</f>
        <v>66</v>
      </c>
      <c r="B70" s="23" t="str">
        <f aca="false">IF(Netz!C70=A70,Anlagen!B70,"")</f>
        <v/>
      </c>
      <c r="C70" s="23" t="str">
        <f aca="false">IF(Netz!C70=A70,COUNTIF(Netz!$C$5:$C$92,A70),"")</f>
        <v/>
      </c>
      <c r="D70" s="23" t="str">
        <f aca="false">IF(Netz!C70=A70,SUMIF(Netz!$C$5:$C$92,A70,Anlagen!$F$5:$F$92),"")</f>
        <v/>
      </c>
      <c r="E70" s="23" t="str">
        <f aca="false">IF(Netz!C70=A70,CEILING(D70/PG,1),"")</f>
        <v/>
      </c>
      <c r="F70" s="30" t="str">
        <f aca="false">IF(Netz!C70=A70,D70/(E70*PG),"")</f>
        <v/>
      </c>
      <c r="G70" s="23" t="str">
        <f aca="false">IF(Netz!C70=A70,Investition!E70+COUNTIF(Netz!$D$5:$D$92,A70),"")</f>
        <v/>
      </c>
      <c r="H70" s="23" t="str">
        <f aca="false">IF(Netz!C70=A70,CEILING((E70+G70)/Ports_Agg,1),"")</f>
        <v/>
      </c>
      <c r="I70" s="31" t="str">
        <f aca="false">IF(Netz!C70=A70,SUMIF(Netz!$C$5:$C$92,A70,Netz!$O$5:$O$92),"")</f>
        <v/>
      </c>
      <c r="J70" s="37" t="str">
        <f aca="false">IF(Netz!C70=A70,I70*Bandbreite/Ueberbuchung,"")</f>
        <v/>
      </c>
      <c r="K70" s="23" t="str">
        <f aca="false">IF(Netz!C70=A70,MAX(1,CEILING(J70/Uplink_Kap,1)),"")</f>
        <v/>
      </c>
      <c r="L70" s="38" t="str">
        <f aca="false">IF(Netz!C70=A70,E70*(P_UCG+P_DAC)*EK,"")</f>
        <v/>
      </c>
      <c r="M70" s="38" t="str">
        <f aca="false">IF(Netz!C70=A70,(P_KVz+P_USV+P_MontStandort+H70*P_Agg)*EK,"")</f>
        <v/>
      </c>
      <c r="N70" s="38" t="str">
        <f aca="false">IF(Netz!C70=A70,L70+M70,"")</f>
        <v/>
      </c>
      <c r="O70" s="38" t="str">
        <f aca="false">IF(Netz!C70=A70,(K70*Uplink_Monat*12+Strom_Standort+E70*Strom_GW)*EK+N70*Wartung,"")</f>
        <v/>
      </c>
      <c r="P70" s="23" t="str">
        <f aca="false">IF(Netz!C70=A70,IF(E70&gt;Max_GW,"Achtung: mehr als "&amp;Max_GW&amp;" Gateways",IF(K70&gt;1,"OK – "&amp;K70&amp;" Internet-Anschlüsse nötig","OK")),"")</f>
        <v/>
      </c>
    </row>
    <row r="71" customFormat="false" ht="15" hidden="false" customHeight="false" outlineLevel="0" collapsed="false">
      <c r="A71" s="23" t="n">
        <f aca="false">Anlagen!A71</f>
        <v>67</v>
      </c>
      <c r="B71" s="23" t="str">
        <f aca="false">IF(Netz!C71=A71,Anlagen!B71,"")</f>
        <v/>
      </c>
      <c r="C71" s="23" t="str">
        <f aca="false">IF(Netz!C71=A71,COUNTIF(Netz!$C$5:$C$92,A71),"")</f>
        <v/>
      </c>
      <c r="D71" s="23" t="str">
        <f aca="false">IF(Netz!C71=A71,SUMIF(Netz!$C$5:$C$92,A71,Anlagen!$F$5:$F$92),"")</f>
        <v/>
      </c>
      <c r="E71" s="23" t="str">
        <f aca="false">IF(Netz!C71=A71,CEILING(D71/PG,1),"")</f>
        <v/>
      </c>
      <c r="F71" s="30" t="str">
        <f aca="false">IF(Netz!C71=A71,D71/(E71*PG),"")</f>
        <v/>
      </c>
      <c r="G71" s="23" t="str">
        <f aca="false">IF(Netz!C71=A71,Investition!E71+COUNTIF(Netz!$D$5:$D$92,A71),"")</f>
        <v/>
      </c>
      <c r="H71" s="23" t="str">
        <f aca="false">IF(Netz!C71=A71,CEILING((E71+G71)/Ports_Agg,1),"")</f>
        <v/>
      </c>
      <c r="I71" s="31" t="str">
        <f aca="false">IF(Netz!C71=A71,SUMIF(Netz!$C$5:$C$92,A71,Netz!$O$5:$O$92),"")</f>
        <v/>
      </c>
      <c r="J71" s="37" t="str">
        <f aca="false">IF(Netz!C71=A71,I71*Bandbreite/Ueberbuchung,"")</f>
        <v/>
      </c>
      <c r="K71" s="23" t="str">
        <f aca="false">IF(Netz!C71=A71,MAX(1,CEILING(J71/Uplink_Kap,1)),"")</f>
        <v/>
      </c>
      <c r="L71" s="38" t="str">
        <f aca="false">IF(Netz!C71=A71,E71*(P_UCG+P_DAC)*EK,"")</f>
        <v/>
      </c>
      <c r="M71" s="38" t="str">
        <f aca="false">IF(Netz!C71=A71,(P_KVz+P_USV+P_MontStandort+H71*P_Agg)*EK,"")</f>
        <v/>
      </c>
      <c r="N71" s="38" t="str">
        <f aca="false">IF(Netz!C71=A71,L71+M71,"")</f>
        <v/>
      </c>
      <c r="O71" s="38" t="str">
        <f aca="false">IF(Netz!C71=A71,(K71*Uplink_Monat*12+Strom_Standort+E71*Strom_GW)*EK+N71*Wartung,"")</f>
        <v/>
      </c>
      <c r="P71" s="23" t="str">
        <f aca="false">IF(Netz!C71=A71,IF(E71&gt;Max_GW,"Achtung: mehr als "&amp;Max_GW&amp;" Gateways",IF(K71&gt;1,"OK – "&amp;K71&amp;" Internet-Anschlüsse nötig","OK")),"")</f>
        <v/>
      </c>
    </row>
    <row r="72" customFormat="false" ht="15" hidden="false" customHeight="false" outlineLevel="0" collapsed="false">
      <c r="A72" s="23" t="n">
        <f aca="false">Anlagen!A72</f>
        <v>68</v>
      </c>
      <c r="B72" s="23" t="str">
        <f aca="false">IF(Netz!C72=A72,Anlagen!B72,"")</f>
        <v/>
      </c>
      <c r="C72" s="23" t="str">
        <f aca="false">IF(Netz!C72=A72,COUNTIF(Netz!$C$5:$C$92,A72),"")</f>
        <v/>
      </c>
      <c r="D72" s="23" t="str">
        <f aca="false">IF(Netz!C72=A72,SUMIF(Netz!$C$5:$C$92,A72,Anlagen!$F$5:$F$92),"")</f>
        <v/>
      </c>
      <c r="E72" s="23" t="str">
        <f aca="false">IF(Netz!C72=A72,CEILING(D72/PG,1),"")</f>
        <v/>
      </c>
      <c r="F72" s="30" t="str">
        <f aca="false">IF(Netz!C72=A72,D72/(E72*PG),"")</f>
        <v/>
      </c>
      <c r="G72" s="23" t="str">
        <f aca="false">IF(Netz!C72=A72,Investition!E72+COUNTIF(Netz!$D$5:$D$92,A72),"")</f>
        <v/>
      </c>
      <c r="H72" s="23" t="str">
        <f aca="false">IF(Netz!C72=A72,CEILING((E72+G72)/Ports_Agg,1),"")</f>
        <v/>
      </c>
      <c r="I72" s="31" t="str">
        <f aca="false">IF(Netz!C72=A72,SUMIF(Netz!$C$5:$C$92,A72,Netz!$O$5:$O$92),"")</f>
        <v/>
      </c>
      <c r="J72" s="37" t="str">
        <f aca="false">IF(Netz!C72=A72,I72*Bandbreite/Ueberbuchung,"")</f>
        <v/>
      </c>
      <c r="K72" s="23" t="str">
        <f aca="false">IF(Netz!C72=A72,MAX(1,CEILING(J72/Uplink_Kap,1)),"")</f>
        <v/>
      </c>
      <c r="L72" s="38" t="str">
        <f aca="false">IF(Netz!C72=A72,E72*(P_UCG+P_DAC)*EK,"")</f>
        <v/>
      </c>
      <c r="M72" s="38" t="str">
        <f aca="false">IF(Netz!C72=A72,(P_KVz+P_USV+P_MontStandort+H72*P_Agg)*EK,"")</f>
        <v/>
      </c>
      <c r="N72" s="38" t="str">
        <f aca="false">IF(Netz!C72=A72,L72+M72,"")</f>
        <v/>
      </c>
      <c r="O72" s="38" t="str">
        <f aca="false">IF(Netz!C72=A72,(K72*Uplink_Monat*12+Strom_Standort+E72*Strom_GW)*EK+N72*Wartung,"")</f>
        <v/>
      </c>
      <c r="P72" s="23" t="str">
        <f aca="false">IF(Netz!C72=A72,IF(E72&gt;Max_GW,"Achtung: mehr als "&amp;Max_GW&amp;" Gateways",IF(K72&gt;1,"OK – "&amp;K72&amp;" Internet-Anschlüsse nötig","OK")),"")</f>
        <v/>
      </c>
    </row>
    <row r="73" customFormat="false" ht="15" hidden="false" customHeight="false" outlineLevel="0" collapsed="false">
      <c r="A73" s="23" t="n">
        <f aca="false">Anlagen!A73</f>
        <v>69</v>
      </c>
      <c r="B73" s="23" t="str">
        <f aca="false">IF(Netz!C73=A73,Anlagen!B73,"")</f>
        <v/>
      </c>
      <c r="C73" s="23" t="str">
        <f aca="false">IF(Netz!C73=A73,COUNTIF(Netz!$C$5:$C$92,A73),"")</f>
        <v/>
      </c>
      <c r="D73" s="23" t="str">
        <f aca="false">IF(Netz!C73=A73,SUMIF(Netz!$C$5:$C$92,A73,Anlagen!$F$5:$F$92),"")</f>
        <v/>
      </c>
      <c r="E73" s="23" t="str">
        <f aca="false">IF(Netz!C73=A73,CEILING(D73/PG,1),"")</f>
        <v/>
      </c>
      <c r="F73" s="30" t="str">
        <f aca="false">IF(Netz!C73=A73,D73/(E73*PG),"")</f>
        <v/>
      </c>
      <c r="G73" s="23" t="str">
        <f aca="false">IF(Netz!C73=A73,Investition!E73+COUNTIF(Netz!$D$5:$D$92,A73),"")</f>
        <v/>
      </c>
      <c r="H73" s="23" t="str">
        <f aca="false">IF(Netz!C73=A73,CEILING((E73+G73)/Ports_Agg,1),"")</f>
        <v/>
      </c>
      <c r="I73" s="31" t="str">
        <f aca="false">IF(Netz!C73=A73,SUMIF(Netz!$C$5:$C$92,A73,Netz!$O$5:$O$92),"")</f>
        <v/>
      </c>
      <c r="J73" s="37" t="str">
        <f aca="false">IF(Netz!C73=A73,I73*Bandbreite/Ueberbuchung,"")</f>
        <v/>
      </c>
      <c r="K73" s="23" t="str">
        <f aca="false">IF(Netz!C73=A73,MAX(1,CEILING(J73/Uplink_Kap,1)),"")</f>
        <v/>
      </c>
      <c r="L73" s="38" t="str">
        <f aca="false">IF(Netz!C73=A73,E73*(P_UCG+P_DAC)*EK,"")</f>
        <v/>
      </c>
      <c r="M73" s="38" t="str">
        <f aca="false">IF(Netz!C73=A73,(P_KVz+P_USV+P_MontStandort+H73*P_Agg)*EK,"")</f>
        <v/>
      </c>
      <c r="N73" s="38" t="str">
        <f aca="false">IF(Netz!C73=A73,L73+M73,"")</f>
        <v/>
      </c>
      <c r="O73" s="38" t="str">
        <f aca="false">IF(Netz!C73=A73,(K73*Uplink_Monat*12+Strom_Standort+E73*Strom_GW)*EK+N73*Wartung,"")</f>
        <v/>
      </c>
      <c r="P73" s="23" t="str">
        <f aca="false">IF(Netz!C73=A73,IF(E73&gt;Max_GW,"Achtung: mehr als "&amp;Max_GW&amp;" Gateways",IF(K73&gt;1,"OK – "&amp;K73&amp;" Internet-Anschlüsse nötig","OK")),"")</f>
        <v/>
      </c>
    </row>
    <row r="74" customFormat="false" ht="15" hidden="false" customHeight="false" outlineLevel="0" collapsed="false">
      <c r="A74" s="23" t="n">
        <f aca="false">Anlagen!A74</f>
        <v>70</v>
      </c>
      <c r="B74" s="23" t="str">
        <f aca="false">IF(Netz!C74=A74,Anlagen!B74,"")</f>
        <v/>
      </c>
      <c r="C74" s="23" t="str">
        <f aca="false">IF(Netz!C74=A74,COUNTIF(Netz!$C$5:$C$92,A74),"")</f>
        <v/>
      </c>
      <c r="D74" s="23" t="str">
        <f aca="false">IF(Netz!C74=A74,SUMIF(Netz!$C$5:$C$92,A74,Anlagen!$F$5:$F$92),"")</f>
        <v/>
      </c>
      <c r="E74" s="23" t="str">
        <f aca="false">IF(Netz!C74=A74,CEILING(D74/PG,1),"")</f>
        <v/>
      </c>
      <c r="F74" s="30" t="str">
        <f aca="false">IF(Netz!C74=A74,D74/(E74*PG),"")</f>
        <v/>
      </c>
      <c r="G74" s="23" t="str">
        <f aca="false">IF(Netz!C74=A74,Investition!E74+COUNTIF(Netz!$D$5:$D$92,A74),"")</f>
        <v/>
      </c>
      <c r="H74" s="23" t="str">
        <f aca="false">IF(Netz!C74=A74,CEILING((E74+G74)/Ports_Agg,1),"")</f>
        <v/>
      </c>
      <c r="I74" s="31" t="str">
        <f aca="false">IF(Netz!C74=A74,SUMIF(Netz!$C$5:$C$92,A74,Netz!$O$5:$O$92),"")</f>
        <v/>
      </c>
      <c r="J74" s="37" t="str">
        <f aca="false">IF(Netz!C74=A74,I74*Bandbreite/Ueberbuchung,"")</f>
        <v/>
      </c>
      <c r="K74" s="23" t="str">
        <f aca="false">IF(Netz!C74=A74,MAX(1,CEILING(J74/Uplink_Kap,1)),"")</f>
        <v/>
      </c>
      <c r="L74" s="38" t="str">
        <f aca="false">IF(Netz!C74=A74,E74*(P_UCG+P_DAC)*EK,"")</f>
        <v/>
      </c>
      <c r="M74" s="38" t="str">
        <f aca="false">IF(Netz!C74=A74,(P_KVz+P_USV+P_MontStandort+H74*P_Agg)*EK,"")</f>
        <v/>
      </c>
      <c r="N74" s="38" t="str">
        <f aca="false">IF(Netz!C74=A74,L74+M74,"")</f>
        <v/>
      </c>
      <c r="O74" s="38" t="str">
        <f aca="false">IF(Netz!C74=A74,(K74*Uplink_Monat*12+Strom_Standort+E74*Strom_GW)*EK+N74*Wartung,"")</f>
        <v/>
      </c>
      <c r="P74" s="23" t="str">
        <f aca="false">IF(Netz!C74=A74,IF(E74&gt;Max_GW,"Achtung: mehr als "&amp;Max_GW&amp;" Gateways",IF(K74&gt;1,"OK – "&amp;K74&amp;" Internet-Anschlüsse nötig","OK")),"")</f>
        <v/>
      </c>
    </row>
    <row r="75" customFormat="false" ht="15" hidden="false" customHeight="false" outlineLevel="0" collapsed="false">
      <c r="A75" s="23" t="n">
        <f aca="false">Anlagen!A75</f>
        <v>71</v>
      </c>
      <c r="B75" s="23" t="str">
        <f aca="false">IF(Netz!C75=A75,Anlagen!B75,"")</f>
        <v/>
      </c>
      <c r="C75" s="23" t="str">
        <f aca="false">IF(Netz!C75=A75,COUNTIF(Netz!$C$5:$C$92,A75),"")</f>
        <v/>
      </c>
      <c r="D75" s="23" t="str">
        <f aca="false">IF(Netz!C75=A75,SUMIF(Netz!$C$5:$C$92,A75,Anlagen!$F$5:$F$92),"")</f>
        <v/>
      </c>
      <c r="E75" s="23" t="str">
        <f aca="false">IF(Netz!C75=A75,CEILING(D75/PG,1),"")</f>
        <v/>
      </c>
      <c r="F75" s="30" t="str">
        <f aca="false">IF(Netz!C75=A75,D75/(E75*PG),"")</f>
        <v/>
      </c>
      <c r="G75" s="23" t="str">
        <f aca="false">IF(Netz!C75=A75,Investition!E75+COUNTIF(Netz!$D$5:$D$92,A75),"")</f>
        <v/>
      </c>
      <c r="H75" s="23" t="str">
        <f aca="false">IF(Netz!C75=A75,CEILING((E75+G75)/Ports_Agg,1),"")</f>
        <v/>
      </c>
      <c r="I75" s="31" t="str">
        <f aca="false">IF(Netz!C75=A75,SUMIF(Netz!$C$5:$C$92,A75,Netz!$O$5:$O$92),"")</f>
        <v/>
      </c>
      <c r="J75" s="37" t="str">
        <f aca="false">IF(Netz!C75=A75,I75*Bandbreite/Ueberbuchung,"")</f>
        <v/>
      </c>
      <c r="K75" s="23" t="str">
        <f aca="false">IF(Netz!C75=A75,MAX(1,CEILING(J75/Uplink_Kap,1)),"")</f>
        <v/>
      </c>
      <c r="L75" s="38" t="str">
        <f aca="false">IF(Netz!C75=A75,E75*(P_UCG+P_DAC)*EK,"")</f>
        <v/>
      </c>
      <c r="M75" s="38" t="str">
        <f aca="false">IF(Netz!C75=A75,(P_KVz+P_USV+P_MontStandort+H75*P_Agg)*EK,"")</f>
        <v/>
      </c>
      <c r="N75" s="38" t="str">
        <f aca="false">IF(Netz!C75=A75,L75+M75,"")</f>
        <v/>
      </c>
      <c r="O75" s="38" t="str">
        <f aca="false">IF(Netz!C75=A75,(K75*Uplink_Monat*12+Strom_Standort+E75*Strom_GW)*EK+N75*Wartung,"")</f>
        <v/>
      </c>
      <c r="P75" s="23" t="str">
        <f aca="false">IF(Netz!C75=A75,IF(E75&gt;Max_GW,"Achtung: mehr als "&amp;Max_GW&amp;" Gateways",IF(K75&gt;1,"OK – "&amp;K75&amp;" Internet-Anschlüsse nötig","OK")),"")</f>
        <v/>
      </c>
    </row>
    <row r="76" customFormat="false" ht="15" hidden="false" customHeight="false" outlineLevel="0" collapsed="false">
      <c r="A76" s="23" t="n">
        <f aca="false">Anlagen!A76</f>
        <v>72</v>
      </c>
      <c r="B76" s="23" t="str">
        <f aca="false">IF(Netz!C76=A76,Anlagen!B76,"")</f>
        <v/>
      </c>
      <c r="C76" s="23" t="str">
        <f aca="false">IF(Netz!C76=A76,COUNTIF(Netz!$C$5:$C$92,A76),"")</f>
        <v/>
      </c>
      <c r="D76" s="23" t="str">
        <f aca="false">IF(Netz!C76=A76,SUMIF(Netz!$C$5:$C$92,A76,Anlagen!$F$5:$F$92),"")</f>
        <v/>
      </c>
      <c r="E76" s="23" t="str">
        <f aca="false">IF(Netz!C76=A76,CEILING(D76/PG,1),"")</f>
        <v/>
      </c>
      <c r="F76" s="30" t="str">
        <f aca="false">IF(Netz!C76=A76,D76/(E76*PG),"")</f>
        <v/>
      </c>
      <c r="G76" s="23" t="str">
        <f aca="false">IF(Netz!C76=A76,Investition!E76+COUNTIF(Netz!$D$5:$D$92,A76),"")</f>
        <v/>
      </c>
      <c r="H76" s="23" t="str">
        <f aca="false">IF(Netz!C76=A76,CEILING((E76+G76)/Ports_Agg,1),"")</f>
        <v/>
      </c>
      <c r="I76" s="31" t="str">
        <f aca="false">IF(Netz!C76=A76,SUMIF(Netz!$C$5:$C$92,A76,Netz!$O$5:$O$92),"")</f>
        <v/>
      </c>
      <c r="J76" s="37" t="str">
        <f aca="false">IF(Netz!C76=A76,I76*Bandbreite/Ueberbuchung,"")</f>
        <v/>
      </c>
      <c r="K76" s="23" t="str">
        <f aca="false">IF(Netz!C76=A76,MAX(1,CEILING(J76/Uplink_Kap,1)),"")</f>
        <v/>
      </c>
      <c r="L76" s="38" t="str">
        <f aca="false">IF(Netz!C76=A76,E76*(P_UCG+P_DAC)*EK,"")</f>
        <v/>
      </c>
      <c r="M76" s="38" t="str">
        <f aca="false">IF(Netz!C76=A76,(P_KVz+P_USV+P_MontStandort+H76*P_Agg)*EK,"")</f>
        <v/>
      </c>
      <c r="N76" s="38" t="str">
        <f aca="false">IF(Netz!C76=A76,L76+M76,"")</f>
        <v/>
      </c>
      <c r="O76" s="38" t="str">
        <f aca="false">IF(Netz!C76=A76,(K76*Uplink_Monat*12+Strom_Standort+E76*Strom_GW)*EK+N76*Wartung,"")</f>
        <v/>
      </c>
      <c r="P76" s="23" t="str">
        <f aca="false">IF(Netz!C76=A76,IF(E76&gt;Max_GW,"Achtung: mehr als "&amp;Max_GW&amp;" Gateways",IF(K76&gt;1,"OK – "&amp;K76&amp;" Internet-Anschlüsse nötig","OK")),"")</f>
        <v/>
      </c>
    </row>
    <row r="77" customFormat="false" ht="15" hidden="false" customHeight="false" outlineLevel="0" collapsed="false">
      <c r="A77" s="23" t="n">
        <f aca="false">Anlagen!A77</f>
        <v>73</v>
      </c>
      <c r="B77" s="23" t="str">
        <f aca="false">IF(Netz!C77=A77,Anlagen!B77,"")</f>
        <v>Sommerfreude II</v>
      </c>
      <c r="C77" s="23" t="n">
        <f aca="false">IF(Netz!C77=A77,COUNTIF(Netz!$C$5:$C$92,A77),"")</f>
        <v>9</v>
      </c>
      <c r="D77" s="23" t="n">
        <f aca="false">IF(Netz!C77=A77,SUMIF(Netz!$C$5:$C$92,A77,Anlagen!$F$5:$F$92),"")</f>
        <v>363</v>
      </c>
      <c r="E77" s="23" t="n">
        <f aca="false">IF(Netz!C77=A77,CEILING(D77/PG,1),"")</f>
        <v>7</v>
      </c>
      <c r="F77" s="30" t="n">
        <f aca="false">IF(Netz!C77=A77,D77/(E77*PG),"")</f>
        <v>0.942857142857143</v>
      </c>
      <c r="G77" s="23" t="n">
        <f aca="false">IF(Netz!C77=A77,Investition!E77+COUNTIF(Netz!$D$5:$D$92,A77),"")</f>
        <v>11</v>
      </c>
      <c r="H77" s="23" t="n">
        <f aca="false">IF(Netz!C77=A77,CEILING((E77+G77)/Ports_Agg,1),"")</f>
        <v>3</v>
      </c>
      <c r="I77" s="31" t="n">
        <f aca="false">IF(Netz!C77=A77,SUMIF(Netz!$C$5:$C$92,A77,Netz!$O$5:$O$92),"")</f>
        <v>210.967575632181</v>
      </c>
      <c r="J77" s="37" t="n">
        <f aca="false">IF(Netz!C77=A77,I77*Bandbreite/Ueberbuchung,"")</f>
        <v>791.128408620679</v>
      </c>
      <c r="K77" s="23" t="n">
        <f aca="false">IF(Netz!C77=A77,MAX(1,CEILING(J77/Uplink_Kap,1)),"")</f>
        <v>1</v>
      </c>
      <c r="L77" s="38" t="n">
        <f aca="false">IF(Netz!C77=A77,E77*(P_UCG+P_DAC)*EK,"")</f>
        <v>2249.1</v>
      </c>
      <c r="M77" s="38" t="n">
        <f aca="false">IF(Netz!C77=A77,(P_KVz+P_USV+P_MontStandort+H77*P_Agg)*EK,"")</f>
        <v>3534.3</v>
      </c>
      <c r="N77" s="38" t="n">
        <f aca="false">IF(Netz!C77=A77,L77+M77,"")</f>
        <v>5783.4</v>
      </c>
      <c r="O77" s="38" t="n">
        <f aca="false">IF(Netz!C77=A77,(K77*Uplink_Monat*12+Strom_Standort+E77*Strom_GW)*EK+N77*Wartung,"")</f>
        <v>1547.952</v>
      </c>
      <c r="P77" s="23" t="str">
        <f aca="false">IF(Netz!C77=A77,IF(E77&gt;Max_GW,"Achtung: mehr als "&amp;Max_GW&amp;" Gateways",IF(K77&gt;1,"OK – "&amp;K77&amp;" Internet-Anschlüsse nötig","OK")),"")</f>
        <v>OK</v>
      </c>
    </row>
    <row r="78" customFormat="false" ht="15" hidden="false" customHeight="false" outlineLevel="0" collapsed="false">
      <c r="A78" s="23" t="n">
        <f aca="false">Anlagen!A78</f>
        <v>74</v>
      </c>
      <c r="B78" s="23" t="str">
        <f aca="false">IF(Netz!C78=A78,Anlagen!B78,"")</f>
        <v/>
      </c>
      <c r="C78" s="23" t="str">
        <f aca="false">IF(Netz!C78=A78,COUNTIF(Netz!$C$5:$C$92,A78),"")</f>
        <v/>
      </c>
      <c r="D78" s="23" t="str">
        <f aca="false">IF(Netz!C78=A78,SUMIF(Netz!$C$5:$C$92,A78,Anlagen!$F$5:$F$92),"")</f>
        <v/>
      </c>
      <c r="E78" s="23" t="str">
        <f aca="false">IF(Netz!C78=A78,CEILING(D78/PG,1),"")</f>
        <v/>
      </c>
      <c r="F78" s="30" t="str">
        <f aca="false">IF(Netz!C78=A78,D78/(E78*PG),"")</f>
        <v/>
      </c>
      <c r="G78" s="23" t="str">
        <f aca="false">IF(Netz!C78=A78,Investition!E78+COUNTIF(Netz!$D$5:$D$92,A78),"")</f>
        <v/>
      </c>
      <c r="H78" s="23" t="str">
        <f aca="false">IF(Netz!C78=A78,CEILING((E78+G78)/Ports_Agg,1),"")</f>
        <v/>
      </c>
      <c r="I78" s="31" t="str">
        <f aca="false">IF(Netz!C78=A78,SUMIF(Netz!$C$5:$C$92,A78,Netz!$O$5:$O$92),"")</f>
        <v/>
      </c>
      <c r="J78" s="37" t="str">
        <f aca="false">IF(Netz!C78=A78,I78*Bandbreite/Ueberbuchung,"")</f>
        <v/>
      </c>
      <c r="K78" s="23" t="str">
        <f aca="false">IF(Netz!C78=A78,MAX(1,CEILING(J78/Uplink_Kap,1)),"")</f>
        <v/>
      </c>
      <c r="L78" s="38" t="str">
        <f aca="false">IF(Netz!C78=A78,E78*(P_UCG+P_DAC)*EK,"")</f>
        <v/>
      </c>
      <c r="M78" s="38" t="str">
        <f aca="false">IF(Netz!C78=A78,(P_KVz+P_USV+P_MontStandort+H78*P_Agg)*EK,"")</f>
        <v/>
      </c>
      <c r="N78" s="38" t="str">
        <f aca="false">IF(Netz!C78=A78,L78+M78,"")</f>
        <v/>
      </c>
      <c r="O78" s="38" t="str">
        <f aca="false">IF(Netz!C78=A78,(K78*Uplink_Monat*12+Strom_Standort+E78*Strom_GW)*EK+N78*Wartung,"")</f>
        <v/>
      </c>
      <c r="P78" s="23" t="str">
        <f aca="false">IF(Netz!C78=A78,IF(E78&gt;Max_GW,"Achtung: mehr als "&amp;Max_GW&amp;" Gateways",IF(K78&gt;1,"OK – "&amp;K78&amp;" Internet-Anschlüsse nötig","OK")),"")</f>
        <v/>
      </c>
    </row>
    <row r="79" customFormat="false" ht="15" hidden="false" customHeight="false" outlineLevel="0" collapsed="false">
      <c r="A79" s="23" t="n">
        <f aca="false">Anlagen!A79</f>
        <v>75</v>
      </c>
      <c r="B79" s="23" t="str">
        <f aca="false">IF(Netz!C79=A79,Anlagen!B79,"")</f>
        <v/>
      </c>
      <c r="C79" s="23" t="str">
        <f aca="false">IF(Netz!C79=A79,COUNTIF(Netz!$C$5:$C$92,A79),"")</f>
        <v/>
      </c>
      <c r="D79" s="23" t="str">
        <f aca="false">IF(Netz!C79=A79,SUMIF(Netz!$C$5:$C$92,A79,Anlagen!$F$5:$F$92),"")</f>
        <v/>
      </c>
      <c r="E79" s="23" t="str">
        <f aca="false">IF(Netz!C79=A79,CEILING(D79/PG,1),"")</f>
        <v/>
      </c>
      <c r="F79" s="30" t="str">
        <f aca="false">IF(Netz!C79=A79,D79/(E79*PG),"")</f>
        <v/>
      </c>
      <c r="G79" s="23" t="str">
        <f aca="false">IF(Netz!C79=A79,Investition!E79+COUNTIF(Netz!$D$5:$D$92,A79),"")</f>
        <v/>
      </c>
      <c r="H79" s="23" t="str">
        <f aca="false">IF(Netz!C79=A79,CEILING((E79+G79)/Ports_Agg,1),"")</f>
        <v/>
      </c>
      <c r="I79" s="31" t="str">
        <f aca="false">IF(Netz!C79=A79,SUMIF(Netz!$C$5:$C$92,A79,Netz!$O$5:$O$92),"")</f>
        <v/>
      </c>
      <c r="J79" s="37" t="str">
        <f aca="false">IF(Netz!C79=A79,I79*Bandbreite/Ueberbuchung,"")</f>
        <v/>
      </c>
      <c r="K79" s="23" t="str">
        <f aca="false">IF(Netz!C79=A79,MAX(1,CEILING(J79/Uplink_Kap,1)),"")</f>
        <v/>
      </c>
      <c r="L79" s="38" t="str">
        <f aca="false">IF(Netz!C79=A79,E79*(P_UCG+P_DAC)*EK,"")</f>
        <v/>
      </c>
      <c r="M79" s="38" t="str">
        <f aca="false">IF(Netz!C79=A79,(P_KVz+P_USV+P_MontStandort+H79*P_Agg)*EK,"")</f>
        <v/>
      </c>
      <c r="N79" s="38" t="str">
        <f aca="false">IF(Netz!C79=A79,L79+M79,"")</f>
        <v/>
      </c>
      <c r="O79" s="38" t="str">
        <f aca="false">IF(Netz!C79=A79,(K79*Uplink_Monat*12+Strom_Standort+E79*Strom_GW)*EK+N79*Wartung,"")</f>
        <v/>
      </c>
      <c r="P79" s="23" t="str">
        <f aca="false">IF(Netz!C79=A79,IF(E79&gt;Max_GW,"Achtung: mehr als "&amp;Max_GW&amp;" Gateways",IF(K79&gt;1,"OK – "&amp;K79&amp;" Internet-Anschlüsse nötig","OK")),"")</f>
        <v/>
      </c>
    </row>
    <row r="80" customFormat="false" ht="15" hidden="false" customHeight="false" outlineLevel="0" collapsed="false">
      <c r="A80" s="23" t="n">
        <f aca="false">Anlagen!A80</f>
        <v>76</v>
      </c>
      <c r="B80" s="23" t="str">
        <f aca="false">IF(Netz!C80=A80,Anlagen!B80,"")</f>
        <v/>
      </c>
      <c r="C80" s="23" t="str">
        <f aca="false">IF(Netz!C80=A80,COUNTIF(Netz!$C$5:$C$92,A80),"")</f>
        <v/>
      </c>
      <c r="D80" s="23" t="str">
        <f aca="false">IF(Netz!C80=A80,SUMIF(Netz!$C$5:$C$92,A80,Anlagen!$F$5:$F$92),"")</f>
        <v/>
      </c>
      <c r="E80" s="23" t="str">
        <f aca="false">IF(Netz!C80=A80,CEILING(D80/PG,1),"")</f>
        <v/>
      </c>
      <c r="F80" s="30" t="str">
        <f aca="false">IF(Netz!C80=A80,D80/(E80*PG),"")</f>
        <v/>
      </c>
      <c r="G80" s="23" t="str">
        <f aca="false">IF(Netz!C80=A80,Investition!E80+COUNTIF(Netz!$D$5:$D$92,A80),"")</f>
        <v/>
      </c>
      <c r="H80" s="23" t="str">
        <f aca="false">IF(Netz!C80=A80,CEILING((E80+G80)/Ports_Agg,1),"")</f>
        <v/>
      </c>
      <c r="I80" s="31" t="str">
        <f aca="false">IF(Netz!C80=A80,SUMIF(Netz!$C$5:$C$92,A80,Netz!$O$5:$O$92),"")</f>
        <v/>
      </c>
      <c r="J80" s="37" t="str">
        <f aca="false">IF(Netz!C80=A80,I80*Bandbreite/Ueberbuchung,"")</f>
        <v/>
      </c>
      <c r="K80" s="23" t="str">
        <f aca="false">IF(Netz!C80=A80,MAX(1,CEILING(J80/Uplink_Kap,1)),"")</f>
        <v/>
      </c>
      <c r="L80" s="38" t="str">
        <f aca="false">IF(Netz!C80=A80,E80*(P_UCG+P_DAC)*EK,"")</f>
        <v/>
      </c>
      <c r="M80" s="38" t="str">
        <f aca="false">IF(Netz!C80=A80,(P_KVz+P_USV+P_MontStandort+H80*P_Agg)*EK,"")</f>
        <v/>
      </c>
      <c r="N80" s="38" t="str">
        <f aca="false">IF(Netz!C80=A80,L80+M80,"")</f>
        <v/>
      </c>
      <c r="O80" s="38" t="str">
        <f aca="false">IF(Netz!C80=A80,(K80*Uplink_Monat*12+Strom_Standort+E80*Strom_GW)*EK+N80*Wartung,"")</f>
        <v/>
      </c>
      <c r="P80" s="23" t="str">
        <f aca="false">IF(Netz!C80=A80,IF(E80&gt;Max_GW,"Achtung: mehr als "&amp;Max_GW&amp;" Gateways",IF(K80&gt;1,"OK – "&amp;K80&amp;" Internet-Anschlüsse nötig","OK")),"")</f>
        <v/>
      </c>
    </row>
    <row r="81" customFormat="false" ht="15" hidden="false" customHeight="false" outlineLevel="0" collapsed="false">
      <c r="A81" s="23" t="n">
        <f aca="false">Anlagen!A81</f>
        <v>77</v>
      </c>
      <c r="B81" s="23" t="str">
        <f aca="false">IF(Netz!C81=A81,Anlagen!B81,"")</f>
        <v/>
      </c>
      <c r="C81" s="23" t="str">
        <f aca="false">IF(Netz!C81=A81,COUNTIF(Netz!$C$5:$C$92,A81),"")</f>
        <v/>
      </c>
      <c r="D81" s="23" t="str">
        <f aca="false">IF(Netz!C81=A81,SUMIF(Netz!$C$5:$C$92,A81,Anlagen!$F$5:$F$92),"")</f>
        <v/>
      </c>
      <c r="E81" s="23" t="str">
        <f aca="false">IF(Netz!C81=A81,CEILING(D81/PG,1),"")</f>
        <v/>
      </c>
      <c r="F81" s="30" t="str">
        <f aca="false">IF(Netz!C81=A81,D81/(E81*PG),"")</f>
        <v/>
      </c>
      <c r="G81" s="23" t="str">
        <f aca="false">IF(Netz!C81=A81,Investition!E81+COUNTIF(Netz!$D$5:$D$92,A81),"")</f>
        <v/>
      </c>
      <c r="H81" s="23" t="str">
        <f aca="false">IF(Netz!C81=A81,CEILING((E81+G81)/Ports_Agg,1),"")</f>
        <v/>
      </c>
      <c r="I81" s="31" t="str">
        <f aca="false">IF(Netz!C81=A81,SUMIF(Netz!$C$5:$C$92,A81,Netz!$O$5:$O$92),"")</f>
        <v/>
      </c>
      <c r="J81" s="37" t="str">
        <f aca="false">IF(Netz!C81=A81,I81*Bandbreite/Ueberbuchung,"")</f>
        <v/>
      </c>
      <c r="K81" s="23" t="str">
        <f aca="false">IF(Netz!C81=A81,MAX(1,CEILING(J81/Uplink_Kap,1)),"")</f>
        <v/>
      </c>
      <c r="L81" s="38" t="str">
        <f aca="false">IF(Netz!C81=A81,E81*(P_UCG+P_DAC)*EK,"")</f>
        <v/>
      </c>
      <c r="M81" s="38" t="str">
        <f aca="false">IF(Netz!C81=A81,(P_KVz+P_USV+P_MontStandort+H81*P_Agg)*EK,"")</f>
        <v/>
      </c>
      <c r="N81" s="38" t="str">
        <f aca="false">IF(Netz!C81=A81,L81+M81,"")</f>
        <v/>
      </c>
      <c r="O81" s="38" t="str">
        <f aca="false">IF(Netz!C81=A81,(K81*Uplink_Monat*12+Strom_Standort+E81*Strom_GW)*EK+N81*Wartung,"")</f>
        <v/>
      </c>
      <c r="P81" s="23" t="str">
        <f aca="false">IF(Netz!C81=A81,IF(E81&gt;Max_GW,"Achtung: mehr als "&amp;Max_GW&amp;" Gateways",IF(K81&gt;1,"OK – "&amp;K81&amp;" Internet-Anschlüsse nötig","OK")),"")</f>
        <v/>
      </c>
    </row>
    <row r="82" customFormat="false" ht="15" hidden="false" customHeight="false" outlineLevel="0" collapsed="false">
      <c r="A82" s="23" t="n">
        <f aca="false">Anlagen!A82</f>
        <v>78</v>
      </c>
      <c r="B82" s="23" t="str">
        <f aca="false">IF(Netz!C82=A82,Anlagen!B82,"")</f>
        <v/>
      </c>
      <c r="C82" s="23" t="str">
        <f aca="false">IF(Netz!C82=A82,COUNTIF(Netz!$C$5:$C$92,A82),"")</f>
        <v/>
      </c>
      <c r="D82" s="23" t="str">
        <f aca="false">IF(Netz!C82=A82,SUMIF(Netz!$C$5:$C$92,A82,Anlagen!$F$5:$F$92),"")</f>
        <v/>
      </c>
      <c r="E82" s="23" t="str">
        <f aca="false">IF(Netz!C82=A82,CEILING(D82/PG,1),"")</f>
        <v/>
      </c>
      <c r="F82" s="30" t="str">
        <f aca="false">IF(Netz!C82=A82,D82/(E82*PG),"")</f>
        <v/>
      </c>
      <c r="G82" s="23" t="str">
        <f aca="false">IF(Netz!C82=A82,Investition!E82+COUNTIF(Netz!$D$5:$D$92,A82),"")</f>
        <v/>
      </c>
      <c r="H82" s="23" t="str">
        <f aca="false">IF(Netz!C82=A82,CEILING((E82+G82)/Ports_Agg,1),"")</f>
        <v/>
      </c>
      <c r="I82" s="31" t="str">
        <f aca="false">IF(Netz!C82=A82,SUMIF(Netz!$C$5:$C$92,A82,Netz!$O$5:$O$92),"")</f>
        <v/>
      </c>
      <c r="J82" s="37" t="str">
        <f aca="false">IF(Netz!C82=A82,I82*Bandbreite/Ueberbuchung,"")</f>
        <v/>
      </c>
      <c r="K82" s="23" t="str">
        <f aca="false">IF(Netz!C82=A82,MAX(1,CEILING(J82/Uplink_Kap,1)),"")</f>
        <v/>
      </c>
      <c r="L82" s="38" t="str">
        <f aca="false">IF(Netz!C82=A82,E82*(P_UCG+P_DAC)*EK,"")</f>
        <v/>
      </c>
      <c r="M82" s="38" t="str">
        <f aca="false">IF(Netz!C82=A82,(P_KVz+P_USV+P_MontStandort+H82*P_Agg)*EK,"")</f>
        <v/>
      </c>
      <c r="N82" s="38" t="str">
        <f aca="false">IF(Netz!C82=A82,L82+M82,"")</f>
        <v/>
      </c>
      <c r="O82" s="38" t="str">
        <f aca="false">IF(Netz!C82=A82,(K82*Uplink_Monat*12+Strom_Standort+E82*Strom_GW)*EK+N82*Wartung,"")</f>
        <v/>
      </c>
      <c r="P82" s="23" t="str">
        <f aca="false">IF(Netz!C82=A82,IF(E82&gt;Max_GW,"Achtung: mehr als "&amp;Max_GW&amp;" Gateways",IF(K82&gt;1,"OK – "&amp;K82&amp;" Internet-Anschlüsse nötig","OK")),"")</f>
        <v/>
      </c>
    </row>
    <row r="83" customFormat="false" ht="15" hidden="false" customHeight="false" outlineLevel="0" collapsed="false">
      <c r="A83" s="23" t="n">
        <f aca="false">Anlagen!A83</f>
        <v>79</v>
      </c>
      <c r="B83" s="23" t="str">
        <f aca="false">IF(Netz!C83=A83,Anlagen!B83,"")</f>
        <v/>
      </c>
      <c r="C83" s="23" t="str">
        <f aca="false">IF(Netz!C83=A83,COUNTIF(Netz!$C$5:$C$92,A83),"")</f>
        <v/>
      </c>
      <c r="D83" s="23" t="str">
        <f aca="false">IF(Netz!C83=A83,SUMIF(Netz!$C$5:$C$92,A83,Anlagen!$F$5:$F$92),"")</f>
        <v/>
      </c>
      <c r="E83" s="23" t="str">
        <f aca="false">IF(Netz!C83=A83,CEILING(D83/PG,1),"")</f>
        <v/>
      </c>
      <c r="F83" s="30" t="str">
        <f aca="false">IF(Netz!C83=A83,D83/(E83*PG),"")</f>
        <v/>
      </c>
      <c r="G83" s="23" t="str">
        <f aca="false">IF(Netz!C83=A83,Investition!E83+COUNTIF(Netz!$D$5:$D$92,A83),"")</f>
        <v/>
      </c>
      <c r="H83" s="23" t="str">
        <f aca="false">IF(Netz!C83=A83,CEILING((E83+G83)/Ports_Agg,1),"")</f>
        <v/>
      </c>
      <c r="I83" s="31" t="str">
        <f aca="false">IF(Netz!C83=A83,SUMIF(Netz!$C$5:$C$92,A83,Netz!$O$5:$O$92),"")</f>
        <v/>
      </c>
      <c r="J83" s="37" t="str">
        <f aca="false">IF(Netz!C83=A83,I83*Bandbreite/Ueberbuchung,"")</f>
        <v/>
      </c>
      <c r="K83" s="23" t="str">
        <f aca="false">IF(Netz!C83=A83,MAX(1,CEILING(J83/Uplink_Kap,1)),"")</f>
        <v/>
      </c>
      <c r="L83" s="38" t="str">
        <f aca="false">IF(Netz!C83=A83,E83*(P_UCG+P_DAC)*EK,"")</f>
        <v/>
      </c>
      <c r="M83" s="38" t="str">
        <f aca="false">IF(Netz!C83=A83,(P_KVz+P_USV+P_MontStandort+H83*P_Agg)*EK,"")</f>
        <v/>
      </c>
      <c r="N83" s="38" t="str">
        <f aca="false">IF(Netz!C83=A83,L83+M83,"")</f>
        <v/>
      </c>
      <c r="O83" s="38" t="str">
        <f aca="false">IF(Netz!C83=A83,(K83*Uplink_Monat*12+Strom_Standort+E83*Strom_GW)*EK+N83*Wartung,"")</f>
        <v/>
      </c>
      <c r="P83" s="23" t="str">
        <f aca="false">IF(Netz!C83=A83,IF(E83&gt;Max_GW,"Achtung: mehr als "&amp;Max_GW&amp;" Gateways",IF(K83&gt;1,"OK – "&amp;K83&amp;" Internet-Anschlüsse nötig","OK")),"")</f>
        <v/>
      </c>
    </row>
    <row r="84" customFormat="false" ht="15" hidden="false" customHeight="false" outlineLevel="0" collapsed="false">
      <c r="A84" s="23" t="n">
        <f aca="false">Anlagen!A84</f>
        <v>80</v>
      </c>
      <c r="B84" s="23" t="str">
        <f aca="false">IF(Netz!C84=A84,Anlagen!B84,"")</f>
        <v/>
      </c>
      <c r="C84" s="23" t="str">
        <f aca="false">IF(Netz!C84=A84,COUNTIF(Netz!$C$5:$C$92,A84),"")</f>
        <v/>
      </c>
      <c r="D84" s="23" t="str">
        <f aca="false">IF(Netz!C84=A84,SUMIF(Netz!$C$5:$C$92,A84,Anlagen!$F$5:$F$92),"")</f>
        <v/>
      </c>
      <c r="E84" s="23" t="str">
        <f aca="false">IF(Netz!C84=A84,CEILING(D84/PG,1),"")</f>
        <v/>
      </c>
      <c r="F84" s="30" t="str">
        <f aca="false">IF(Netz!C84=A84,D84/(E84*PG),"")</f>
        <v/>
      </c>
      <c r="G84" s="23" t="str">
        <f aca="false">IF(Netz!C84=A84,Investition!E84+COUNTIF(Netz!$D$5:$D$92,A84),"")</f>
        <v/>
      </c>
      <c r="H84" s="23" t="str">
        <f aca="false">IF(Netz!C84=A84,CEILING((E84+G84)/Ports_Agg,1),"")</f>
        <v/>
      </c>
      <c r="I84" s="31" t="str">
        <f aca="false">IF(Netz!C84=A84,SUMIF(Netz!$C$5:$C$92,A84,Netz!$O$5:$O$92),"")</f>
        <v/>
      </c>
      <c r="J84" s="37" t="str">
        <f aca="false">IF(Netz!C84=A84,I84*Bandbreite/Ueberbuchung,"")</f>
        <v/>
      </c>
      <c r="K84" s="23" t="str">
        <f aca="false">IF(Netz!C84=A84,MAX(1,CEILING(J84/Uplink_Kap,1)),"")</f>
        <v/>
      </c>
      <c r="L84" s="38" t="str">
        <f aca="false">IF(Netz!C84=A84,E84*(P_UCG+P_DAC)*EK,"")</f>
        <v/>
      </c>
      <c r="M84" s="38" t="str">
        <f aca="false">IF(Netz!C84=A84,(P_KVz+P_USV+P_MontStandort+H84*P_Agg)*EK,"")</f>
        <v/>
      </c>
      <c r="N84" s="38" t="str">
        <f aca="false">IF(Netz!C84=A84,L84+M84,"")</f>
        <v/>
      </c>
      <c r="O84" s="38" t="str">
        <f aca="false">IF(Netz!C84=A84,(K84*Uplink_Monat*12+Strom_Standort+E84*Strom_GW)*EK+N84*Wartung,"")</f>
        <v/>
      </c>
      <c r="P84" s="23" t="str">
        <f aca="false">IF(Netz!C84=A84,IF(E84&gt;Max_GW,"Achtung: mehr als "&amp;Max_GW&amp;" Gateways",IF(K84&gt;1,"OK – "&amp;K84&amp;" Internet-Anschlüsse nötig","OK")),"")</f>
        <v/>
      </c>
    </row>
    <row r="85" customFormat="false" ht="15" hidden="false" customHeight="false" outlineLevel="0" collapsed="false">
      <c r="A85" s="23" t="n">
        <f aca="false">Anlagen!A85</f>
        <v>81</v>
      </c>
      <c r="B85" s="23" t="str">
        <f aca="false">IF(Netz!C85=A85,Anlagen!B85,"")</f>
        <v>Traumland</v>
      </c>
      <c r="C85" s="23" t="n">
        <f aca="false">IF(Netz!C85=A85,COUNTIF(Netz!$C$5:$C$92,A85),"")</f>
        <v>2</v>
      </c>
      <c r="D85" s="23" t="n">
        <f aca="false">IF(Netz!C85=A85,SUMIF(Netz!$C$5:$C$92,A85,Anlagen!$F$5:$F$92),"")</f>
        <v>84</v>
      </c>
      <c r="E85" s="23" t="n">
        <f aca="false">IF(Netz!C85=A85,CEILING(D85/PG,1),"")</f>
        <v>2</v>
      </c>
      <c r="F85" s="30" t="n">
        <f aca="false">IF(Netz!C85=A85,D85/(E85*PG),"")</f>
        <v>0.763636363636364</v>
      </c>
      <c r="G85" s="23" t="n">
        <f aca="false">IF(Netz!C85=A85,Investition!E85+COUNTIF(Netz!$D$5:$D$92,A85),"")</f>
        <v>5</v>
      </c>
      <c r="H85" s="23" t="n">
        <f aca="false">IF(Netz!C85=A85,CEILING((E85+G85)/Ports_Agg,1),"")</f>
        <v>1</v>
      </c>
      <c r="I85" s="31" t="n">
        <f aca="false">IF(Netz!C85=A85,SUMIF(Netz!$C$5:$C$92,A85,Netz!$O$5:$O$92),"")</f>
        <v>49.4534046779449</v>
      </c>
      <c r="J85" s="37" t="n">
        <f aca="false">IF(Netz!C85=A85,I85*Bandbreite/Ueberbuchung,"")</f>
        <v>185.450267542293</v>
      </c>
      <c r="K85" s="23" t="n">
        <f aca="false">IF(Netz!C85=A85,MAX(1,CEILING(J85/Uplink_Kap,1)),"")</f>
        <v>1</v>
      </c>
      <c r="L85" s="38" t="n">
        <f aca="false">IF(Netz!C85=A85,E85*(P_UCG+P_DAC)*EK,"")</f>
        <v>642.6</v>
      </c>
      <c r="M85" s="38" t="n">
        <f aca="false">IF(Netz!C85=A85,(P_KVz+P_USV+P_MontStandort+H85*P_Agg)*EK,"")</f>
        <v>2963.1</v>
      </c>
      <c r="N85" s="38" t="n">
        <f aca="false">IF(Netz!C85=A85,L85+M85,"")</f>
        <v>3605.7</v>
      </c>
      <c r="O85" s="38" t="n">
        <f aca="false">IF(Netz!C85=A85,(K85*Uplink_Monat*12+Strom_Standort+E85*Strom_GW)*EK+N85*Wartung,"")</f>
        <v>1333.871</v>
      </c>
      <c r="P85" s="23" t="str">
        <f aca="false">IF(Netz!C85=A85,IF(E85&gt;Max_GW,"Achtung: mehr als "&amp;Max_GW&amp;" Gateways",IF(K85&gt;1,"OK – "&amp;K85&amp;" Internet-Anschlüsse nötig","OK")),"")</f>
        <v>OK</v>
      </c>
    </row>
    <row r="86" customFormat="false" ht="15" hidden="false" customHeight="false" outlineLevel="0" collapsed="false">
      <c r="A86" s="23" t="n">
        <f aca="false">Anlagen!A86</f>
        <v>82</v>
      </c>
      <c r="B86" s="23" t="str">
        <f aca="false">IF(Netz!C86=A86,Anlagen!B86,"")</f>
        <v/>
      </c>
      <c r="C86" s="23" t="str">
        <f aca="false">IF(Netz!C86=A86,COUNTIF(Netz!$C$5:$C$92,A86),"")</f>
        <v/>
      </c>
      <c r="D86" s="23" t="str">
        <f aca="false">IF(Netz!C86=A86,SUMIF(Netz!$C$5:$C$92,A86,Anlagen!$F$5:$F$92),"")</f>
        <v/>
      </c>
      <c r="E86" s="23" t="str">
        <f aca="false">IF(Netz!C86=A86,CEILING(D86/PG,1),"")</f>
        <v/>
      </c>
      <c r="F86" s="30" t="str">
        <f aca="false">IF(Netz!C86=A86,D86/(E86*PG),"")</f>
        <v/>
      </c>
      <c r="G86" s="23" t="str">
        <f aca="false">IF(Netz!C86=A86,Investition!E86+COUNTIF(Netz!$D$5:$D$92,A86),"")</f>
        <v/>
      </c>
      <c r="H86" s="23" t="str">
        <f aca="false">IF(Netz!C86=A86,CEILING((E86+G86)/Ports_Agg,1),"")</f>
        <v/>
      </c>
      <c r="I86" s="31" t="str">
        <f aca="false">IF(Netz!C86=A86,SUMIF(Netz!$C$5:$C$92,A86,Netz!$O$5:$O$92),"")</f>
        <v/>
      </c>
      <c r="J86" s="37" t="str">
        <f aca="false">IF(Netz!C86=A86,I86*Bandbreite/Ueberbuchung,"")</f>
        <v/>
      </c>
      <c r="K86" s="23" t="str">
        <f aca="false">IF(Netz!C86=A86,MAX(1,CEILING(J86/Uplink_Kap,1)),"")</f>
        <v/>
      </c>
      <c r="L86" s="38" t="str">
        <f aca="false">IF(Netz!C86=A86,E86*(P_UCG+P_DAC)*EK,"")</f>
        <v/>
      </c>
      <c r="M86" s="38" t="str">
        <f aca="false">IF(Netz!C86=A86,(P_KVz+P_USV+P_MontStandort+H86*P_Agg)*EK,"")</f>
        <v/>
      </c>
      <c r="N86" s="38" t="str">
        <f aca="false">IF(Netz!C86=A86,L86+M86,"")</f>
        <v/>
      </c>
      <c r="O86" s="38" t="str">
        <f aca="false">IF(Netz!C86=A86,(K86*Uplink_Monat*12+Strom_Standort+E86*Strom_GW)*EK+N86*Wartung,"")</f>
        <v/>
      </c>
      <c r="P86" s="23" t="str">
        <f aca="false">IF(Netz!C86=A86,IF(E86&gt;Max_GW,"Achtung: mehr als "&amp;Max_GW&amp;" Gateways",IF(K86&gt;1,"OK – "&amp;K86&amp;" Internet-Anschlüsse nötig","OK")),"")</f>
        <v/>
      </c>
    </row>
    <row r="87" customFormat="false" ht="15" hidden="false" customHeight="false" outlineLevel="0" collapsed="false">
      <c r="A87" s="23" t="n">
        <f aca="false">Anlagen!A87</f>
        <v>83</v>
      </c>
      <c r="B87" s="23" t="str">
        <f aca="false">IF(Netz!C87=A87,Anlagen!B87,"")</f>
        <v/>
      </c>
      <c r="C87" s="23" t="str">
        <f aca="false">IF(Netz!C87=A87,COUNTIF(Netz!$C$5:$C$92,A87),"")</f>
        <v/>
      </c>
      <c r="D87" s="23" t="str">
        <f aca="false">IF(Netz!C87=A87,SUMIF(Netz!$C$5:$C$92,A87,Anlagen!$F$5:$F$92),"")</f>
        <v/>
      </c>
      <c r="E87" s="23" t="str">
        <f aca="false">IF(Netz!C87=A87,CEILING(D87/PG,1),"")</f>
        <v/>
      </c>
      <c r="F87" s="30" t="str">
        <f aca="false">IF(Netz!C87=A87,D87/(E87*PG),"")</f>
        <v/>
      </c>
      <c r="G87" s="23" t="str">
        <f aca="false">IF(Netz!C87=A87,Investition!E87+COUNTIF(Netz!$D$5:$D$92,A87),"")</f>
        <v/>
      </c>
      <c r="H87" s="23" t="str">
        <f aca="false">IF(Netz!C87=A87,CEILING((E87+G87)/Ports_Agg,1),"")</f>
        <v/>
      </c>
      <c r="I87" s="31" t="str">
        <f aca="false">IF(Netz!C87=A87,SUMIF(Netz!$C$5:$C$92,A87,Netz!$O$5:$O$92),"")</f>
        <v/>
      </c>
      <c r="J87" s="37" t="str">
        <f aca="false">IF(Netz!C87=A87,I87*Bandbreite/Ueberbuchung,"")</f>
        <v/>
      </c>
      <c r="K87" s="23" t="str">
        <f aca="false">IF(Netz!C87=A87,MAX(1,CEILING(J87/Uplink_Kap,1)),"")</f>
        <v/>
      </c>
      <c r="L87" s="38" t="str">
        <f aca="false">IF(Netz!C87=A87,E87*(P_UCG+P_DAC)*EK,"")</f>
        <v/>
      </c>
      <c r="M87" s="38" t="str">
        <f aca="false">IF(Netz!C87=A87,(P_KVz+P_USV+P_MontStandort+H87*P_Agg)*EK,"")</f>
        <v/>
      </c>
      <c r="N87" s="38" t="str">
        <f aca="false">IF(Netz!C87=A87,L87+M87,"")</f>
        <v/>
      </c>
      <c r="O87" s="38" t="str">
        <f aca="false">IF(Netz!C87=A87,(K87*Uplink_Monat*12+Strom_Standort+E87*Strom_GW)*EK+N87*Wartung,"")</f>
        <v/>
      </c>
      <c r="P87" s="23" t="str">
        <f aca="false">IF(Netz!C87=A87,IF(E87&gt;Max_GW,"Achtung: mehr als "&amp;Max_GW&amp;" Gateways",IF(K87&gt;1,"OK – "&amp;K87&amp;" Internet-Anschlüsse nötig","OK")),"")</f>
        <v/>
      </c>
    </row>
    <row r="88" customFormat="false" ht="15" hidden="false" customHeight="false" outlineLevel="0" collapsed="false">
      <c r="A88" s="23" t="n">
        <f aca="false">Anlagen!A88</f>
        <v>84</v>
      </c>
      <c r="B88" s="23" t="str">
        <f aca="false">IF(Netz!C88=A88,Anlagen!B88,"")</f>
        <v/>
      </c>
      <c r="C88" s="23" t="str">
        <f aca="false">IF(Netz!C88=A88,COUNTIF(Netz!$C$5:$C$92,A88),"")</f>
        <v/>
      </c>
      <c r="D88" s="23" t="str">
        <f aca="false">IF(Netz!C88=A88,SUMIF(Netz!$C$5:$C$92,A88,Anlagen!$F$5:$F$92),"")</f>
        <v/>
      </c>
      <c r="E88" s="23" t="str">
        <f aca="false">IF(Netz!C88=A88,CEILING(D88/PG,1),"")</f>
        <v/>
      </c>
      <c r="F88" s="30" t="str">
        <f aca="false">IF(Netz!C88=A88,D88/(E88*PG),"")</f>
        <v/>
      </c>
      <c r="G88" s="23" t="str">
        <f aca="false">IF(Netz!C88=A88,Investition!E88+COUNTIF(Netz!$D$5:$D$92,A88),"")</f>
        <v/>
      </c>
      <c r="H88" s="23" t="str">
        <f aca="false">IF(Netz!C88=A88,CEILING((E88+G88)/Ports_Agg,1),"")</f>
        <v/>
      </c>
      <c r="I88" s="31" t="str">
        <f aca="false">IF(Netz!C88=A88,SUMIF(Netz!$C$5:$C$92,A88,Netz!$O$5:$O$92),"")</f>
        <v/>
      </c>
      <c r="J88" s="37" t="str">
        <f aca="false">IF(Netz!C88=A88,I88*Bandbreite/Ueberbuchung,"")</f>
        <v/>
      </c>
      <c r="K88" s="23" t="str">
        <f aca="false">IF(Netz!C88=A88,MAX(1,CEILING(J88/Uplink_Kap,1)),"")</f>
        <v/>
      </c>
      <c r="L88" s="38" t="str">
        <f aca="false">IF(Netz!C88=A88,E88*(P_UCG+P_DAC)*EK,"")</f>
        <v/>
      </c>
      <c r="M88" s="38" t="str">
        <f aca="false">IF(Netz!C88=A88,(P_KVz+P_USV+P_MontStandort+H88*P_Agg)*EK,"")</f>
        <v/>
      </c>
      <c r="N88" s="38" t="str">
        <f aca="false">IF(Netz!C88=A88,L88+M88,"")</f>
        <v/>
      </c>
      <c r="O88" s="38" t="str">
        <f aca="false">IF(Netz!C88=A88,(K88*Uplink_Monat*12+Strom_Standort+E88*Strom_GW)*EK+N88*Wartung,"")</f>
        <v/>
      </c>
      <c r="P88" s="23" t="str">
        <f aca="false">IF(Netz!C88=A88,IF(E88&gt;Max_GW,"Achtung: mehr als "&amp;Max_GW&amp;" Gateways",IF(K88&gt;1,"OK – "&amp;K88&amp;" Internet-Anschlüsse nötig","OK")),"")</f>
        <v/>
      </c>
    </row>
    <row r="89" customFormat="false" ht="15" hidden="false" customHeight="false" outlineLevel="0" collapsed="false">
      <c r="A89" s="23" t="n">
        <f aca="false">Anlagen!A89</f>
        <v>85</v>
      </c>
      <c r="B89" s="23" t="str">
        <f aca="false">IF(Netz!C89=A89,Anlagen!B89,"")</f>
        <v>Zukunft</v>
      </c>
      <c r="C89" s="23" t="n">
        <f aca="false">IF(Netz!C89=A89,COUNTIF(Netz!$C$5:$C$92,A89),"")</f>
        <v>6</v>
      </c>
      <c r="D89" s="23" t="n">
        <f aca="false">IF(Netz!C89=A89,SUMIF(Netz!$C$5:$C$92,A89,Anlagen!$F$5:$F$92),"")</f>
        <v>273</v>
      </c>
      <c r="E89" s="23" t="n">
        <f aca="false">IF(Netz!C89=A89,CEILING(D89/PG,1),"")</f>
        <v>5</v>
      </c>
      <c r="F89" s="30" t="n">
        <f aca="false">IF(Netz!C89=A89,D89/(E89*PG),"")</f>
        <v>0.992727272727273</v>
      </c>
      <c r="G89" s="23" t="n">
        <f aca="false">IF(Netz!C89=A89,Investition!E89+COUNTIF(Netz!$D$5:$D$92,A89),"")</f>
        <v>7</v>
      </c>
      <c r="H89" s="23" t="n">
        <f aca="false">IF(Netz!C89=A89,CEILING((E89+G89)/Ports_Agg,1),"")</f>
        <v>2</v>
      </c>
      <c r="I89" s="31" t="n">
        <f aca="false">IF(Netz!C89=A89,SUMIF(Netz!$C$5:$C$92,A89,Netz!$O$5:$O$92),"")</f>
        <v>153.963889774822</v>
      </c>
      <c r="J89" s="37" t="n">
        <f aca="false">IF(Netz!C89=A89,I89*Bandbreite/Ueberbuchung,"")</f>
        <v>577.364586655582</v>
      </c>
      <c r="K89" s="23" t="n">
        <f aca="false">IF(Netz!C89=A89,MAX(1,CEILING(J89/Uplink_Kap,1)),"")</f>
        <v>1</v>
      </c>
      <c r="L89" s="38" t="n">
        <f aca="false">IF(Netz!C89=A89,E89*(P_UCG+P_DAC)*EK,"")</f>
        <v>1606.5</v>
      </c>
      <c r="M89" s="38" t="n">
        <f aca="false">IF(Netz!C89=A89,(P_KVz+P_USV+P_MontStandort+H89*P_Agg)*EK,"")</f>
        <v>3248.7</v>
      </c>
      <c r="N89" s="38" t="n">
        <f aca="false">IF(Netz!C89=A89,L89+M89,"")</f>
        <v>4855.2</v>
      </c>
      <c r="O89" s="38" t="n">
        <f aca="false">IF(Netz!C89=A89,(K89*Uplink_Monat*12+Strom_Standort+E89*Strom_GW)*EK+N89*Wartung,"")</f>
        <v>1460.606</v>
      </c>
      <c r="P89" s="23" t="str">
        <f aca="false">IF(Netz!C89=A89,IF(E89&gt;Max_GW,"Achtung: mehr als "&amp;Max_GW&amp;" Gateways",IF(K89&gt;1,"OK – "&amp;K89&amp;" Internet-Anschlüsse nötig","OK")),"")</f>
        <v>OK</v>
      </c>
    </row>
    <row r="90" customFormat="false" ht="15" hidden="false" customHeight="false" outlineLevel="0" collapsed="false">
      <c r="A90" s="23" t="n">
        <f aca="false">Anlagen!A90</f>
        <v>86</v>
      </c>
      <c r="B90" s="23" t="str">
        <f aca="false">IF(Netz!C90=A90,Anlagen!B90,"")</f>
        <v/>
      </c>
      <c r="C90" s="23" t="str">
        <f aca="false">IF(Netz!C90=A90,COUNTIF(Netz!$C$5:$C$92,A90),"")</f>
        <v/>
      </c>
      <c r="D90" s="23" t="str">
        <f aca="false">IF(Netz!C90=A90,SUMIF(Netz!$C$5:$C$92,A90,Anlagen!$F$5:$F$92),"")</f>
        <v/>
      </c>
      <c r="E90" s="23" t="str">
        <f aca="false">IF(Netz!C90=A90,CEILING(D90/PG,1),"")</f>
        <v/>
      </c>
      <c r="F90" s="30" t="str">
        <f aca="false">IF(Netz!C90=A90,D90/(E90*PG),"")</f>
        <v/>
      </c>
      <c r="G90" s="23" t="str">
        <f aca="false">IF(Netz!C90=A90,Investition!E90+COUNTIF(Netz!$D$5:$D$92,A90),"")</f>
        <v/>
      </c>
      <c r="H90" s="23" t="str">
        <f aca="false">IF(Netz!C90=A90,CEILING((E90+G90)/Ports_Agg,1),"")</f>
        <v/>
      </c>
      <c r="I90" s="31" t="str">
        <f aca="false">IF(Netz!C90=A90,SUMIF(Netz!$C$5:$C$92,A90,Netz!$O$5:$O$92),"")</f>
        <v/>
      </c>
      <c r="J90" s="37" t="str">
        <f aca="false">IF(Netz!C90=A90,I90*Bandbreite/Ueberbuchung,"")</f>
        <v/>
      </c>
      <c r="K90" s="23" t="str">
        <f aca="false">IF(Netz!C90=A90,MAX(1,CEILING(J90/Uplink_Kap,1)),"")</f>
        <v/>
      </c>
      <c r="L90" s="38" t="str">
        <f aca="false">IF(Netz!C90=A90,E90*(P_UCG+P_DAC)*EK,"")</f>
        <v/>
      </c>
      <c r="M90" s="38" t="str">
        <f aca="false">IF(Netz!C90=A90,(P_KVz+P_USV+P_MontStandort+H90*P_Agg)*EK,"")</f>
        <v/>
      </c>
      <c r="N90" s="38" t="str">
        <f aca="false">IF(Netz!C90=A90,L90+M90,"")</f>
        <v/>
      </c>
      <c r="O90" s="38" t="str">
        <f aca="false">IF(Netz!C90=A90,(K90*Uplink_Monat*12+Strom_Standort+E90*Strom_GW)*EK+N90*Wartung,"")</f>
        <v/>
      </c>
      <c r="P90" s="23" t="str">
        <f aca="false">IF(Netz!C90=A90,IF(E90&gt;Max_GW,"Achtung: mehr als "&amp;Max_GW&amp;" Gateways",IF(K90&gt;1,"OK – "&amp;K90&amp;" Internet-Anschlüsse nötig","OK")),"")</f>
        <v/>
      </c>
    </row>
    <row r="91" customFormat="false" ht="15" hidden="false" customHeight="false" outlineLevel="0" collapsed="false">
      <c r="A91" s="23" t="n">
        <f aca="false">Anlagen!A91</f>
        <v>87</v>
      </c>
      <c r="B91" s="23" t="str">
        <f aca="false">IF(Netz!C91=A91,Anlagen!B91,"")</f>
        <v/>
      </c>
      <c r="C91" s="23" t="str">
        <f aca="false">IF(Netz!C91=A91,COUNTIF(Netz!$C$5:$C$92,A91),"")</f>
        <v/>
      </c>
      <c r="D91" s="23" t="str">
        <f aca="false">IF(Netz!C91=A91,SUMIF(Netz!$C$5:$C$92,A91,Anlagen!$F$5:$F$92),"")</f>
        <v/>
      </c>
      <c r="E91" s="23" t="str">
        <f aca="false">IF(Netz!C91=A91,CEILING(D91/PG,1),"")</f>
        <v/>
      </c>
      <c r="F91" s="30" t="str">
        <f aca="false">IF(Netz!C91=A91,D91/(E91*PG),"")</f>
        <v/>
      </c>
      <c r="G91" s="23" t="str">
        <f aca="false">IF(Netz!C91=A91,Investition!E91+COUNTIF(Netz!$D$5:$D$92,A91),"")</f>
        <v/>
      </c>
      <c r="H91" s="23" t="str">
        <f aca="false">IF(Netz!C91=A91,CEILING((E91+G91)/Ports_Agg,1),"")</f>
        <v/>
      </c>
      <c r="I91" s="31" t="str">
        <f aca="false">IF(Netz!C91=A91,SUMIF(Netz!$C$5:$C$92,A91,Netz!$O$5:$O$92),"")</f>
        <v/>
      </c>
      <c r="J91" s="37" t="str">
        <f aca="false">IF(Netz!C91=A91,I91*Bandbreite/Ueberbuchung,"")</f>
        <v/>
      </c>
      <c r="K91" s="23" t="str">
        <f aca="false">IF(Netz!C91=A91,MAX(1,CEILING(J91/Uplink_Kap,1)),"")</f>
        <v/>
      </c>
      <c r="L91" s="38" t="str">
        <f aca="false">IF(Netz!C91=A91,E91*(P_UCG+P_DAC)*EK,"")</f>
        <v/>
      </c>
      <c r="M91" s="38" t="str">
        <f aca="false">IF(Netz!C91=A91,(P_KVz+P_USV+P_MontStandort+H91*P_Agg)*EK,"")</f>
        <v/>
      </c>
      <c r="N91" s="38" t="str">
        <f aca="false">IF(Netz!C91=A91,L91+M91,"")</f>
        <v/>
      </c>
      <c r="O91" s="38" t="str">
        <f aca="false">IF(Netz!C91=A91,(K91*Uplink_Monat*12+Strom_Standort+E91*Strom_GW)*EK+N91*Wartung,"")</f>
        <v/>
      </c>
      <c r="P91" s="23" t="str">
        <f aca="false">IF(Netz!C91=A91,IF(E91&gt;Max_GW,"Achtung: mehr als "&amp;Max_GW&amp;" Gateways",IF(K91&gt;1,"OK – "&amp;K91&amp;" Internet-Anschlüsse nötig","OK")),"")</f>
        <v/>
      </c>
    </row>
    <row r="92" customFormat="false" ht="15" hidden="false" customHeight="false" outlineLevel="0" collapsed="false">
      <c r="A92" s="23" t="n">
        <f aca="false">Anlagen!A92</f>
        <v>88</v>
      </c>
      <c r="B92" s="23" t="str">
        <f aca="false">IF(Netz!C92=A92,Anlagen!B92,"")</f>
        <v/>
      </c>
      <c r="C92" s="23" t="str">
        <f aca="false">IF(Netz!C92=A92,COUNTIF(Netz!$C$5:$C$92,A92),"")</f>
        <v/>
      </c>
      <c r="D92" s="23" t="str">
        <f aca="false">IF(Netz!C92=A92,SUMIF(Netz!$C$5:$C$92,A92,Anlagen!$F$5:$F$92),"")</f>
        <v/>
      </c>
      <c r="E92" s="23" t="str">
        <f aca="false">IF(Netz!C92=A92,CEILING(D92/PG,1),"")</f>
        <v/>
      </c>
      <c r="F92" s="30" t="str">
        <f aca="false">IF(Netz!C92=A92,D92/(E92*PG),"")</f>
        <v/>
      </c>
      <c r="G92" s="23" t="str">
        <f aca="false">IF(Netz!C92=A92,Investition!E92+COUNTIF(Netz!$D$5:$D$92,A92),"")</f>
        <v/>
      </c>
      <c r="H92" s="23" t="str">
        <f aca="false">IF(Netz!C92=A92,CEILING((E92+G92)/Ports_Agg,1),"")</f>
        <v/>
      </c>
      <c r="I92" s="31" t="str">
        <f aca="false">IF(Netz!C92=A92,SUMIF(Netz!$C$5:$C$92,A92,Netz!$O$5:$O$92),"")</f>
        <v/>
      </c>
      <c r="J92" s="37" t="str">
        <f aca="false">IF(Netz!C92=A92,I92*Bandbreite/Ueberbuchung,"")</f>
        <v/>
      </c>
      <c r="K92" s="23" t="str">
        <f aca="false">IF(Netz!C92=A92,MAX(1,CEILING(J92/Uplink_Kap,1)),"")</f>
        <v/>
      </c>
      <c r="L92" s="38" t="str">
        <f aca="false">IF(Netz!C92=A92,E92*(P_UCG+P_DAC)*EK,"")</f>
        <v/>
      </c>
      <c r="M92" s="38" t="str">
        <f aca="false">IF(Netz!C92=A92,(P_KVz+P_USV+P_MontStandort+H92*P_Agg)*EK,"")</f>
        <v/>
      </c>
      <c r="N92" s="38" t="str">
        <f aca="false">IF(Netz!C92=A92,L92+M92,"")</f>
        <v/>
      </c>
      <c r="O92" s="38" t="str">
        <f aca="false">IF(Netz!C92=A92,(K92*Uplink_Monat*12+Strom_Standort+E92*Strom_GW)*EK+N92*Wartung,"")</f>
        <v/>
      </c>
      <c r="P92" s="23" t="str">
        <f aca="false">IF(Netz!C92=A92,IF(E92&gt;Max_GW,"Achtung: mehr als "&amp;Max_GW&amp;" Gateways",IF(K92&gt;1,"OK – "&amp;K92&amp;" Internet-Anschlüsse nötig","OK")),"")</f>
        <v/>
      </c>
    </row>
    <row r="93" customFormat="false" ht="15" hidden="false" customHeight="false" outlineLevel="0" collapsed="false">
      <c r="B93" s="32" t="s">
        <v>518</v>
      </c>
      <c r="C93" s="35" t="n">
        <f aca="false">COUNTIF(Netz!E5:E92,"Gateway-Standort")+COUNTIF(Netz!E5:E92,"eigenständig")</f>
        <v>16</v>
      </c>
      <c r="D93" s="33" t="n">
        <f aca="false">SUM(D5:D92)</f>
        <v>5017</v>
      </c>
      <c r="E93" s="33" t="n">
        <f aca="false">SUM(E5:E92)</f>
        <v>96</v>
      </c>
      <c r="I93" s="33" t="n">
        <f aca="false">SUM(I5:I92)</f>
        <v>2814.81360437705</v>
      </c>
      <c r="K93" s="33" t="n">
        <f aca="false">SUM(K5:K92)</f>
        <v>23</v>
      </c>
      <c r="L93" s="39" t="n">
        <f aca="false">SUM(L5:L92)</f>
        <v>30844.8</v>
      </c>
      <c r="M93" s="39" t="n">
        <f aca="false">SUM(M5:M92)</f>
        <v>52836</v>
      </c>
      <c r="N93" s="39" t="n">
        <f aca="false">SUM(N5:N92)</f>
        <v>83680.8</v>
      </c>
      <c r="O93" s="39" t="n">
        <f aca="false">SUM(O5:O92)</f>
        <v>31522.624</v>
      </c>
    </row>
  </sheetData>
  <autoFilter ref="A4:P92"/>
  <conditionalFormatting sqref="P5:P92">
    <cfRule type="expression" priority="2" aboveAverage="0" equalAverage="0" bottom="0" percent="0" rank="0" text="" dxfId="9">
      <formula>LEFT(P5,7)="Achtung"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18.55" hidden="false" customHeight="false" outlineLevel="0" collapsed="false">
      <c r="A1" s="1" t="s">
        <v>551</v>
      </c>
    </row>
    <row r="2" customFormat="false" ht="15" hidden="false" customHeight="false" outlineLevel="0" collapsed="false">
      <c r="A2" s="2" t="s">
        <v>552</v>
      </c>
    </row>
    <row r="4" customFormat="false" ht="45.75" hidden="false" customHeight="true" outlineLevel="0" collapsed="false">
      <c r="A4" s="5" t="s">
        <v>175</v>
      </c>
      <c r="B4" s="5" t="s">
        <v>176</v>
      </c>
      <c r="C4" s="5" t="s">
        <v>178</v>
      </c>
      <c r="D4" s="5" t="s">
        <v>508</v>
      </c>
      <c r="E4" s="5" t="s">
        <v>42</v>
      </c>
      <c r="F4" s="5" t="s">
        <v>553</v>
      </c>
      <c r="G4" s="5" t="s">
        <v>46</v>
      </c>
      <c r="H4" s="5" t="s">
        <v>47</v>
      </c>
      <c r="I4" s="5" t="s">
        <v>554</v>
      </c>
      <c r="J4" s="5" t="s">
        <v>555</v>
      </c>
      <c r="K4" s="5" t="s">
        <v>556</v>
      </c>
      <c r="L4" s="5" t="s">
        <v>557</v>
      </c>
      <c r="M4" s="5" t="s">
        <v>49</v>
      </c>
      <c r="N4" s="5" t="s">
        <v>50</v>
      </c>
    </row>
    <row r="5" customFormat="false" ht="15" hidden="false" customHeight="false" outlineLevel="0" collapsed="false">
      <c r="A5" s="23" t="n">
        <f aca="false">Anlagen!A5</f>
        <v>1</v>
      </c>
      <c r="B5" s="23" t="str">
        <f aca="false">Anlagen!B5</f>
        <v>1. März</v>
      </c>
      <c r="C5" s="23" t="str">
        <f aca="false">Anlagen!D5</f>
        <v>B – Beobachtung</v>
      </c>
      <c r="D5" s="23" t="str">
        <f aca="false">Netz!N5</f>
        <v>Fohrder Landstraße: GW 3</v>
      </c>
      <c r="E5" s="23" t="n">
        <f aca="false">Anlagen!F5</f>
        <v>30</v>
      </c>
      <c r="F5" s="30" t="n">
        <f aca="false">Buchungsquote!T5</f>
        <v>0.623636363636364</v>
      </c>
      <c r="G5" s="31" t="n">
        <f aca="false">Buchungsquote!V5</f>
        <v>18.7090909090909</v>
      </c>
      <c r="H5" s="38" t="n">
        <f aca="false">G5*Preis_Jahr</f>
        <v>2245.09090909091</v>
      </c>
      <c r="I5" s="30" t="n">
        <f aca="false">IFERROR(E5/INDEX(Standorte!$D$5:$D$92,MATCH(Netz!C5,Anlagen!$A$5:$A$92,0)),0)</f>
        <v>0.0583657587548638</v>
      </c>
      <c r="J5" s="38" t="n">
        <f aca="false">Investition!N5+I5*IFERROR(INDEX(Standorte!$N$5:$N$92,MATCH(Netz!C5,Anlagen!$A$5:$A$92,0)),0)</f>
        <v>14158.268625881</v>
      </c>
      <c r="K5" s="38" t="n">
        <f aca="false">Investition!O5+I5*IFERROR(INDEX(Standorte!$O$5:$O$92,MATCH(Netz!C5,Anlagen!$A$5:$A$92,0)),0)+H5*Zahlung</f>
        <v>818.540474765111</v>
      </c>
      <c r="L5" s="38" t="n">
        <f aca="false">H5-K5</f>
        <v>1426.5504343258</v>
      </c>
      <c r="M5" s="31" t="n">
        <f aca="false">IF(L5&gt;0,J5/L5,"nie")</f>
        <v>9.92482865323466</v>
      </c>
      <c r="N5" s="38" t="n">
        <f aca="false">IF(G5&gt;0,J5/G5,0)</f>
        <v>756.758770090823</v>
      </c>
    </row>
    <row r="6" customFormat="false" ht="15" hidden="false" customHeight="false" outlineLevel="0" collapsed="false">
      <c r="A6" s="23" t="n">
        <f aca="false">Anlagen!A6</f>
        <v>2</v>
      </c>
      <c r="B6" s="23" t="str">
        <f aca="false">Anlagen!B6</f>
        <v>Abendfrieden</v>
      </c>
      <c r="C6" s="23" t="str">
        <f aca="false">Anlagen!D6</f>
        <v>C – Qualifizierung</v>
      </c>
      <c r="D6" s="23" t="str">
        <f aca="false">Netz!N6</f>
        <v>Glück im Winkel: GW 3–4</v>
      </c>
      <c r="E6" s="23" t="n">
        <f aca="false">Anlagen!F6</f>
        <v>75</v>
      </c>
      <c r="F6" s="30" t="n">
        <f aca="false">Buchungsquote!T6</f>
        <v>0.535329710144928</v>
      </c>
      <c r="G6" s="31" t="n">
        <f aca="false">Buchungsquote!V6</f>
        <v>40.1497282608696</v>
      </c>
      <c r="H6" s="38" t="n">
        <f aca="false">G6*Preis_Jahr</f>
        <v>4817.96739130435</v>
      </c>
      <c r="I6" s="30" t="n">
        <f aca="false">IFERROR(E6/INDEX(Standorte!$D$5:$D$92,MATCH(Netz!C6,Anlagen!$A$5:$A$92,0)),0)</f>
        <v>0.138888888888889</v>
      </c>
      <c r="J6" s="38" t="n">
        <f aca="false">Investition!N6+I6*IFERROR(INDEX(Standorte!$N$5:$N$92,MATCH(Netz!C6,Anlagen!$A$5:$A$92,0)),0)</f>
        <v>24362.7286976822</v>
      </c>
      <c r="K6" s="38" t="n">
        <f aca="false">Investition!O6+I6*IFERROR(INDEX(Standorte!$O$5:$O$92,MATCH(Netz!C6,Anlagen!$A$5:$A$92,0)),0)+H6*Zahlung</f>
        <v>1524.96254933626</v>
      </c>
      <c r="L6" s="38" t="n">
        <f aca="false">H6-K6</f>
        <v>3293.00484196808</v>
      </c>
      <c r="M6" s="31" t="n">
        <f aca="false">IF(L6&gt;0,J6/L6,"nie")</f>
        <v>7.39832762684967</v>
      </c>
      <c r="N6" s="38" t="n">
        <f aca="false">IF(G6&gt;0,J6/G6,0)</f>
        <v>606.796851510112</v>
      </c>
    </row>
    <row r="7" customFormat="false" ht="15" hidden="false" customHeight="false" outlineLevel="0" collapsed="false">
      <c r="A7" s="23" t="n">
        <f aca="false">Anlagen!A7</f>
        <v>3</v>
      </c>
      <c r="B7" s="23" t="str">
        <f aca="false">Anlagen!B7</f>
        <v>Abendrot</v>
      </c>
      <c r="C7" s="23" t="str">
        <f aca="false">Anlagen!D7</f>
        <v>A – Stabil</v>
      </c>
      <c r="D7" s="23" t="str">
        <f aca="false">Netz!N7</f>
        <v>Feierabend: GW 4–6</v>
      </c>
      <c r="E7" s="23" t="n">
        <f aca="false">Anlagen!F7</f>
        <v>137</v>
      </c>
      <c r="F7" s="30" t="n">
        <f aca="false">Buchungsquote!T7</f>
        <v>0.568864650470996</v>
      </c>
      <c r="G7" s="31" t="n">
        <f aca="false">Buchungsquote!V7</f>
        <v>77.9344571145265</v>
      </c>
      <c r="H7" s="38" t="n">
        <f aca="false">G7*Preis_Jahr</f>
        <v>9352.13485374318</v>
      </c>
      <c r="I7" s="30" t="n">
        <f aca="false">IFERROR(E7/INDEX(Standorte!$D$5:$D$92,MATCH(Netz!C7,Anlagen!$A$5:$A$92,0)),0)</f>
        <v>0.250915750915751</v>
      </c>
      <c r="J7" s="38" t="n">
        <f aca="false">Investition!N7+I7*IFERROR(INDEX(Standorte!$N$5:$N$92,MATCH(Netz!C7,Anlagen!$A$5:$A$92,0)),0)</f>
        <v>43165.3265726222</v>
      </c>
      <c r="K7" s="38" t="n">
        <f aca="false">Investition!O7+I7*IFERROR(INDEX(Standorte!$O$5:$O$92,MATCH(Netz!C7,Anlagen!$A$5:$A$92,0)),0)+H7*Zahlung</f>
        <v>2747.01999663711</v>
      </c>
      <c r="L7" s="38" t="n">
        <f aca="false">H7-K7</f>
        <v>6605.11485710607</v>
      </c>
      <c r="M7" s="31" t="n">
        <f aca="false">IF(L7&gt;0,J7/L7,"nie")</f>
        <v>6.53513640662631</v>
      </c>
      <c r="N7" s="38" t="n">
        <f aca="false">IF(G7&gt;0,J7/G7,0)</f>
        <v>553.867033540629</v>
      </c>
    </row>
    <row r="8" customFormat="false" ht="15" hidden="false" customHeight="false" outlineLevel="0" collapsed="false">
      <c r="A8" s="23" t="n">
        <f aca="false">Anlagen!A8</f>
        <v>4</v>
      </c>
      <c r="B8" s="23" t="str">
        <f aca="false">Anlagen!B8</f>
        <v>Abendruh</v>
      </c>
      <c r="C8" s="23" t="str">
        <f aca="false">Anlagen!D8</f>
        <v>A – Stabil</v>
      </c>
      <c r="D8" s="23" t="str">
        <f aca="false">Netz!N8</f>
        <v>Feierabend: GW 6–9</v>
      </c>
      <c r="E8" s="23" t="n">
        <f aca="false">Anlagen!F8</f>
        <v>142</v>
      </c>
      <c r="F8" s="30" t="n">
        <f aca="false">Buchungsquote!T8</f>
        <v>0.560237556561086</v>
      </c>
      <c r="G8" s="31" t="n">
        <f aca="false">Buchungsquote!V8</f>
        <v>79.5537330316742</v>
      </c>
      <c r="H8" s="38" t="n">
        <f aca="false">G8*Preis_Jahr</f>
        <v>9546.44796380091</v>
      </c>
      <c r="I8" s="30" t="n">
        <f aca="false">IFERROR(E8/INDEX(Standorte!$D$5:$D$92,MATCH(Netz!C8,Anlagen!$A$5:$A$92,0)),0)</f>
        <v>0.26007326007326</v>
      </c>
      <c r="J8" s="38" t="n">
        <f aca="false">Investition!N8+I8*IFERROR(INDEX(Standorte!$N$5:$N$92,MATCH(Netz!C8,Anlagen!$A$5:$A$92,0)),0)</f>
        <v>44701.9437588068</v>
      </c>
      <c r="K8" s="38" t="n">
        <f aca="false">Investition!O8+I8*IFERROR(INDEX(Standorte!$O$5:$O$92,MATCH(Netz!C8,Anlagen!$A$5:$A$92,0)),0)+H8*Zahlung</f>
        <v>2881.65944398592</v>
      </c>
      <c r="L8" s="38" t="n">
        <f aca="false">H8-K8</f>
        <v>6664.78851981498</v>
      </c>
      <c r="M8" s="31" t="n">
        <f aca="false">IF(L8&gt;0,J8/L8,"nie")</f>
        <v>6.70718112448792</v>
      </c>
      <c r="N8" s="38" t="n">
        <f aca="false">IF(G8&gt;0,J8/G8,0)</f>
        <v>561.908813770044</v>
      </c>
    </row>
    <row r="9" customFormat="false" ht="15" hidden="false" customHeight="false" outlineLevel="0" collapsed="false">
      <c r="A9" s="23" t="n">
        <f aca="false">Anlagen!A9</f>
        <v>5</v>
      </c>
      <c r="B9" s="23" t="str">
        <f aca="false">Anlagen!B9</f>
        <v>Abendsonne</v>
      </c>
      <c r="C9" s="23" t="str">
        <f aca="false">Anlagen!D9</f>
        <v>A – Stabil</v>
      </c>
      <c r="D9" s="23" t="str">
        <f aca="false">Netz!N9</f>
        <v>Eigener Fleiß: GW 3–4</v>
      </c>
      <c r="E9" s="23" t="n">
        <f aca="false">Anlagen!F9</f>
        <v>67</v>
      </c>
      <c r="F9" s="30" t="n">
        <f aca="false">Buchungsquote!T9</f>
        <v>0.503731343283582</v>
      </c>
      <c r="G9" s="31" t="n">
        <f aca="false">Buchungsquote!V9</f>
        <v>33.75</v>
      </c>
      <c r="H9" s="38" t="n">
        <f aca="false">G9*Preis_Jahr</f>
        <v>4050</v>
      </c>
      <c r="I9" s="30" t="n">
        <f aca="false">IFERROR(E9/INDEX(Standorte!$D$5:$D$92,MATCH(Netz!C9,Anlagen!$A$5:$A$92,0)),0)</f>
        <v>0.122710622710623</v>
      </c>
      <c r="J9" s="38" t="n">
        <f aca="false">Investition!N9+I9*IFERROR(INDEX(Standorte!$N$5:$N$92,MATCH(Netz!C9,Anlagen!$A$5:$A$92,0)),0)</f>
        <v>22005.8418695633</v>
      </c>
      <c r="K9" s="38" t="n">
        <f aca="false">Investition!O9+I9*IFERROR(INDEX(Standorte!$O$5:$O$92,MATCH(Netz!C9,Anlagen!$A$5:$A$92,0)),0)+H9*Zahlung</f>
        <v>1390.20987147151</v>
      </c>
      <c r="L9" s="38" t="n">
        <f aca="false">H9-K9</f>
        <v>2659.79012852849</v>
      </c>
      <c r="M9" s="31" t="n">
        <f aca="false">IF(L9&gt;0,J9/L9,"nie")</f>
        <v>8.27352565660432</v>
      </c>
      <c r="N9" s="38" t="n">
        <f aca="false">IF(G9&gt;0,J9/G9,0)</f>
        <v>652.024944283357</v>
      </c>
    </row>
    <row r="10" customFormat="false" ht="15" hidden="false" customHeight="false" outlineLevel="0" collapsed="false">
      <c r="A10" s="23" t="n">
        <f aca="false">Anlagen!A10</f>
        <v>6</v>
      </c>
      <c r="B10" s="23" t="str">
        <f aca="false">Anlagen!B10</f>
        <v>Altstadt Forst</v>
      </c>
      <c r="C10" s="23" t="str">
        <f aca="false">Anlagen!D10</f>
        <v>A – Stabil</v>
      </c>
      <c r="D10" s="23" t="str">
        <f aca="false">Netz!N10</f>
        <v>Fohrder Landstraße: GW 3–5</v>
      </c>
      <c r="E10" s="23" t="n">
        <f aca="false">Anlagen!F10</f>
        <v>88</v>
      </c>
      <c r="F10" s="30" t="n">
        <f aca="false">Buchungsquote!T10</f>
        <v>0.560237556561086</v>
      </c>
      <c r="G10" s="31" t="n">
        <f aca="false">Buchungsquote!V10</f>
        <v>49.3009049773756</v>
      </c>
      <c r="H10" s="38" t="n">
        <f aca="false">G10*Preis_Jahr</f>
        <v>5916.10859728507</v>
      </c>
      <c r="I10" s="30" t="n">
        <f aca="false">IFERROR(E10/INDEX(Standorte!$D$5:$D$92,MATCH(Netz!C10,Anlagen!$A$5:$A$92,0)),0)</f>
        <v>0.171206225680934</v>
      </c>
      <c r="J10" s="38" t="n">
        <f aca="false">Investition!N10+I10*IFERROR(INDEX(Standorte!$N$5:$N$92,MATCH(Netz!C10,Anlagen!$A$5:$A$92,0)),0)</f>
        <v>28624.5005973156</v>
      </c>
      <c r="K10" s="38" t="n">
        <f aca="false">Investition!O10+I10*IFERROR(INDEX(Standorte!$O$5:$O$92,MATCH(Netz!C10,Anlagen!$A$5:$A$92,0)),0)+H10*Zahlung</f>
        <v>1827.17469607148</v>
      </c>
      <c r="L10" s="38" t="n">
        <f aca="false">H10-K10</f>
        <v>4088.93390121359</v>
      </c>
      <c r="M10" s="31" t="n">
        <f aca="false">IF(L10&gt;0,J10/L10,"nie")</f>
        <v>7.00048014687151</v>
      </c>
      <c r="N10" s="38" t="n">
        <f aca="false">IF(G10&gt;0,J10/G10,0)</f>
        <v>580.608015419829</v>
      </c>
    </row>
    <row r="11" customFormat="false" ht="15" hidden="false" customHeight="false" outlineLevel="0" collapsed="false">
      <c r="A11" s="23" t="n">
        <f aca="false">Anlagen!A11</f>
        <v>7</v>
      </c>
      <c r="B11" s="23" t="str">
        <f aca="false">Anlagen!B11</f>
        <v>Am Beetzseeufer</v>
      </c>
      <c r="C11" s="23" t="str">
        <f aca="false">Anlagen!D11</f>
        <v>A – Stabil</v>
      </c>
      <c r="D11" s="23" t="str">
        <f aca="false">Netz!N11</f>
        <v>Helgoland: GW 3–4</v>
      </c>
      <c r="E11" s="23" t="n">
        <f aca="false">Anlagen!F11</f>
        <v>77</v>
      </c>
      <c r="F11" s="30" t="n">
        <f aca="false">Buchungsquote!T11</f>
        <v>0.632903780068728</v>
      </c>
      <c r="G11" s="31" t="n">
        <f aca="false">Buchungsquote!V11</f>
        <v>48.7335910652921</v>
      </c>
      <c r="H11" s="38" t="n">
        <f aca="false">G11*Preis_Jahr</f>
        <v>5848.03092783505</v>
      </c>
      <c r="I11" s="30" t="n">
        <f aca="false">IFERROR(E11/INDEX(Standorte!$D$5:$D$92,MATCH(Netz!C11,Anlagen!$A$5:$A$92,0)),0)</f>
        <v>0.140255009107468</v>
      </c>
      <c r="J11" s="38" t="n">
        <f aca="false">Investition!N11+I11*IFERROR(INDEX(Standorte!$N$5:$N$92,MATCH(Netz!C11,Anlagen!$A$5:$A$92,0)),0)</f>
        <v>25858.6454651813</v>
      </c>
      <c r="K11" s="38" t="n">
        <f aca="false">Investition!O11+I11*IFERROR(INDEX(Standorte!$O$5:$O$92,MATCH(Netz!C11,Anlagen!$A$5:$A$92,0)),0)+H11*Zahlung</f>
        <v>1604.20466337519</v>
      </c>
      <c r="L11" s="38" t="n">
        <f aca="false">H11-K11</f>
        <v>4243.82626445986</v>
      </c>
      <c r="M11" s="31" t="n">
        <f aca="false">IF(L11&gt;0,J11/L11,"nie")</f>
        <v>6.09323847249257</v>
      </c>
      <c r="N11" s="38" t="n">
        <f aca="false">IF(G11&gt;0,J11/G11,0)</f>
        <v>530.612353818467</v>
      </c>
    </row>
    <row r="12" customFormat="false" ht="15" hidden="false" customHeight="false" outlineLevel="0" collapsed="false">
      <c r="A12" s="23" t="n">
        <f aca="false">Anlagen!A12</f>
        <v>8</v>
      </c>
      <c r="B12" s="23" t="str">
        <f aca="false">Anlagen!B12</f>
        <v>Am Büttelhandfassgraben</v>
      </c>
      <c r="C12" s="23" t="str">
        <f aca="false">Anlagen!D12</f>
        <v>B – Beobachtung</v>
      </c>
      <c r="D12" s="23" t="str">
        <f aca="false">Netz!N12</f>
        <v>Helgoland: GW 4</v>
      </c>
      <c r="E12" s="23" t="n">
        <f aca="false">Anlagen!F12</f>
        <v>5</v>
      </c>
      <c r="F12" s="30" t="n">
        <f aca="false">Buchungsquote!T12</f>
        <v>0.678571428571429</v>
      </c>
      <c r="G12" s="31" t="n">
        <f aca="false">Buchungsquote!V12</f>
        <v>3.39285714285714</v>
      </c>
      <c r="H12" s="38" t="n">
        <f aca="false">G12*Preis_Jahr</f>
        <v>407.142857142857</v>
      </c>
      <c r="I12" s="30" t="n">
        <f aca="false">IFERROR(E12/INDEX(Standorte!$D$5:$D$92,MATCH(Netz!C12,Anlagen!$A$5:$A$92,0)),0)</f>
        <v>0.00910746812386157</v>
      </c>
      <c r="J12" s="38" t="n">
        <f aca="false">Investition!N12+I12*IFERROR(INDEX(Standorte!$N$5:$N$92,MATCH(Netz!C12,Anlagen!$A$5:$A$92,0)),0)</f>
        <v>4222.16053356704</v>
      </c>
      <c r="K12" s="38" t="n">
        <f aca="false">Investition!O12+I12*IFERROR(INDEX(Standorte!$O$5:$O$92,MATCH(Netz!C12,Anlagen!$A$5:$A$92,0)),0)+H12*Zahlung</f>
        <v>221.463801174849</v>
      </c>
      <c r="L12" s="38" t="n">
        <f aca="false">H12-K12</f>
        <v>185.679055968008</v>
      </c>
      <c r="M12" s="31" t="n">
        <f aca="false">IF(L12&gt;0,J12/L12,"nie")</f>
        <v>22.7390241271719</v>
      </c>
      <c r="N12" s="38" t="n">
        <f aca="false">IF(G12&gt;0,J12/G12,0)</f>
        <v>1244.42626252502</v>
      </c>
    </row>
    <row r="13" customFormat="false" ht="15" hidden="false" customHeight="false" outlineLevel="0" collapsed="false">
      <c r="A13" s="23" t="n">
        <f aca="false">Anlagen!A13</f>
        <v>9</v>
      </c>
      <c r="B13" s="23" t="str">
        <f aca="false">Anlagen!B13</f>
        <v>Am Eichenweg</v>
      </c>
      <c r="C13" s="23" t="str">
        <f aca="false">Anlagen!D13</f>
        <v>C – Qualifizierung</v>
      </c>
      <c r="D13" s="23" t="str">
        <f aca="false">Netz!N13</f>
        <v>Birkenwäldchen: GW 2</v>
      </c>
      <c r="E13" s="23" t="n">
        <f aca="false">Anlagen!F13</f>
        <v>54</v>
      </c>
      <c r="F13" s="30" t="n">
        <f aca="false">Buchungsquote!T13</f>
        <v>0.558733333333333</v>
      </c>
      <c r="G13" s="31" t="n">
        <f aca="false">Buchungsquote!V13</f>
        <v>30.1716</v>
      </c>
      <c r="H13" s="38" t="n">
        <f aca="false">G13*Preis_Jahr</f>
        <v>3620.592</v>
      </c>
      <c r="I13" s="30" t="n">
        <f aca="false">IFERROR(E13/INDEX(Standorte!$D$5:$D$92,MATCH(Netz!C13,Anlagen!$A$5:$A$92,0)),0)</f>
        <v>0.0994475138121547</v>
      </c>
      <c r="J13" s="38" t="n">
        <f aca="false">Investition!N13+I13*IFERROR(INDEX(Standorte!$N$5:$N$92,MATCH(Netz!C13,Anlagen!$A$5:$A$92,0)),0)</f>
        <v>21023.1891380614</v>
      </c>
      <c r="K13" s="38" t="n">
        <f aca="false">Investition!O13+I13*IFERROR(INDEX(Standorte!$O$5:$O$92,MATCH(Netz!C13,Anlagen!$A$5:$A$92,0)),0)+H13*Zahlung</f>
        <v>1229.38304740151</v>
      </c>
      <c r="L13" s="38" t="n">
        <f aca="false">H13-K13</f>
        <v>2391.20895259849</v>
      </c>
      <c r="M13" s="31" t="n">
        <f aca="false">IF(L13&gt;0,J13/L13,"nie")</f>
        <v>8.79186618769383</v>
      </c>
      <c r="N13" s="38" t="n">
        <f aca="false">IF(G13&gt;0,J13/G13,0)</f>
        <v>696.787347640213</v>
      </c>
    </row>
    <row r="14" customFormat="false" ht="15" hidden="false" customHeight="false" outlineLevel="0" collapsed="false">
      <c r="A14" s="23" t="n">
        <f aca="false">Anlagen!A14</f>
        <v>10</v>
      </c>
      <c r="B14" s="23" t="str">
        <f aca="false">Anlagen!B14</f>
        <v>Am Jakobsgraben</v>
      </c>
      <c r="C14" s="23" t="str">
        <f aca="false">Anlagen!D14</f>
        <v>D – Planungskonflikt</v>
      </c>
      <c r="D14" s="23" t="str">
        <f aca="false">Netz!N14</f>
        <v>Birkenwäldchen: GW 3</v>
      </c>
      <c r="E14" s="23" t="n">
        <f aca="false">Anlagen!F14</f>
        <v>41</v>
      </c>
      <c r="F14" s="30" t="n">
        <f aca="false">Buchungsquote!T14</f>
        <v>0.454565868263473</v>
      </c>
      <c r="G14" s="31" t="n">
        <f aca="false">Buchungsquote!V14</f>
        <v>18.6372005988024</v>
      </c>
      <c r="H14" s="38" t="n">
        <f aca="false">G14*Preis_Jahr</f>
        <v>2236.46407185629</v>
      </c>
      <c r="I14" s="30" t="n">
        <f aca="false">IFERROR(E14/INDEX(Standorte!$D$5:$D$92,MATCH(Netz!C14,Anlagen!$A$5:$A$92,0)),0)</f>
        <v>0.0755064456721915</v>
      </c>
      <c r="J14" s="38" t="n">
        <f aca="false">Investition!N14+I14*IFERROR(INDEX(Standorte!$N$5:$N$92,MATCH(Netz!C14,Anlagen!$A$5:$A$92,0)),0)</f>
        <v>17205.7056945294</v>
      </c>
      <c r="K14" s="38" t="n">
        <f aca="false">Investition!O14+I14*IFERROR(INDEX(Standorte!$O$5:$O$92,MATCH(Netz!C14,Anlagen!$A$5:$A$92,0)),0)+H14*Zahlung</f>
        <v>953.151280836874</v>
      </c>
      <c r="L14" s="38" t="n">
        <f aca="false">H14-K14</f>
        <v>1283.31279101941</v>
      </c>
      <c r="M14" s="31" t="n">
        <f aca="false">IF(L14&gt;0,J14/L14,"nie")</f>
        <v>13.4072580082848</v>
      </c>
      <c r="N14" s="38" t="n">
        <f aca="false">IF(G14&gt;0,J14/G14,0)</f>
        <v>923.191527789587</v>
      </c>
    </row>
    <row r="15" customFormat="false" ht="15" hidden="false" customHeight="false" outlineLevel="0" collapsed="false">
      <c r="A15" s="23" t="n">
        <f aca="false">Anlagen!A15</f>
        <v>11</v>
      </c>
      <c r="B15" s="23" t="str">
        <f aca="false">Anlagen!B15</f>
        <v>Am Schafdamm</v>
      </c>
      <c r="C15" s="23" t="str">
        <f aca="false">Anlagen!D15</f>
        <v>C – Qualifizierung</v>
      </c>
      <c r="D15" s="23" t="str">
        <f aca="false">Netz!N15</f>
        <v>Fohrder Landstraße: GW 5</v>
      </c>
      <c r="E15" s="23" t="n">
        <f aca="false">Anlagen!F15</f>
        <v>10</v>
      </c>
      <c r="F15" s="30" t="n">
        <f aca="false">Buchungsquote!T15</f>
        <v>0.462307692307692</v>
      </c>
      <c r="G15" s="31" t="n">
        <f aca="false">Buchungsquote!V15</f>
        <v>4.62307692307692</v>
      </c>
      <c r="H15" s="38" t="n">
        <f aca="false">G15*Preis_Jahr</f>
        <v>554.769230769231</v>
      </c>
      <c r="I15" s="30" t="n">
        <f aca="false">IFERROR(E15/INDEX(Standorte!$D$5:$D$92,MATCH(Netz!C15,Anlagen!$A$5:$A$92,0)),0)</f>
        <v>0.0194552529182879</v>
      </c>
      <c r="J15" s="38" t="n">
        <f aca="false">Investition!N15+I15*IFERROR(INDEX(Standorte!$N$5:$N$92,MATCH(Netz!C15,Anlagen!$A$5:$A$92,0)),0)</f>
        <v>6361.65908584129</v>
      </c>
      <c r="K15" s="38" t="n">
        <f aca="false">Investition!O15+I15*IFERROR(INDEX(Standorte!$O$5:$O$92,MATCH(Netz!C15,Anlagen!$A$5:$A$92,0)),0)+H15*Zahlung</f>
        <v>316.3060790703</v>
      </c>
      <c r="L15" s="38" t="n">
        <f aca="false">H15-K15</f>
        <v>238.463151698931</v>
      </c>
      <c r="M15" s="31" t="n">
        <f aca="false">IF(L15&gt;0,J15/L15,"nie")</f>
        <v>26.6777447187024</v>
      </c>
      <c r="N15" s="38" t="n">
        <f aca="false">IF(G15&gt;0,J15/G15,0)</f>
        <v>1376.06602522357</v>
      </c>
    </row>
    <row r="16" customFormat="false" ht="15" hidden="false" customHeight="false" outlineLevel="0" collapsed="false">
      <c r="A16" s="23" t="n">
        <f aca="false">Anlagen!A16</f>
        <v>12</v>
      </c>
      <c r="B16" s="23" t="str">
        <f aca="false">Anlagen!B16</f>
        <v>Am Schlangenpfad</v>
      </c>
      <c r="C16" s="23" t="str">
        <f aca="false">Anlagen!D16</f>
        <v>C – Qualifizierung</v>
      </c>
      <c r="D16" s="23" t="str">
        <f aca="false">Netz!N16</f>
        <v>Fohrder Landstraße: GW 5</v>
      </c>
      <c r="E16" s="23" t="n">
        <f aca="false">Anlagen!F16</f>
        <v>19</v>
      </c>
      <c r="F16" s="30" t="n">
        <f aca="false">Buchungsquote!T16</f>
        <v>0.429137931034483</v>
      </c>
      <c r="G16" s="31" t="n">
        <f aca="false">Buchungsquote!V16</f>
        <v>8.15362068965517</v>
      </c>
      <c r="H16" s="38" t="n">
        <f aca="false">G16*Preis_Jahr</f>
        <v>978.434482758621</v>
      </c>
      <c r="I16" s="30" t="n">
        <f aca="false">IFERROR(E16/INDEX(Standorte!$D$5:$D$92,MATCH(Netz!C16,Anlagen!$A$5:$A$92,0)),0)</f>
        <v>0.0369649805447471</v>
      </c>
      <c r="J16" s="38" t="n">
        <f aca="false">Investition!N16+I16*IFERROR(INDEX(Standorte!$N$5:$N$92,MATCH(Netz!C16,Anlagen!$A$5:$A$92,0)),0)</f>
        <v>9322.27645600126</v>
      </c>
      <c r="K16" s="38" t="n">
        <f aca="false">Investition!O16+I16*IFERROR(INDEX(Standorte!$O$5:$O$92,MATCH(Netz!C16,Anlagen!$A$5:$A$92,0)),0)+H16*Zahlung</f>
        <v>521.716464349567</v>
      </c>
      <c r="L16" s="38" t="n">
        <f aca="false">H16-K16</f>
        <v>456.718018409054</v>
      </c>
      <c r="M16" s="31" t="n">
        <f aca="false">IF(L16&gt;0,J16/L16,"nie")</f>
        <v>20.4114488157808</v>
      </c>
      <c r="N16" s="38" t="n">
        <f aca="false">IF(G16&gt;0,J16/G16,0)</f>
        <v>1143.32967044062</v>
      </c>
    </row>
    <row r="17" customFormat="false" ht="15" hidden="false" customHeight="false" outlineLevel="0" collapsed="false">
      <c r="A17" s="23" t="n">
        <f aca="false">Anlagen!A17</f>
        <v>13</v>
      </c>
      <c r="B17" s="23" t="str">
        <f aca="false">Anlagen!B17</f>
        <v>Am Waldesrand</v>
      </c>
      <c r="C17" s="23" t="str">
        <f aca="false">Anlagen!D17</f>
        <v>B – Beobachtung</v>
      </c>
      <c r="D17" s="23" t="str">
        <f aca="false">Netz!N17</f>
        <v>Fohrder Landstraße: GW 5–7</v>
      </c>
      <c r="E17" s="23" t="n">
        <f aca="false">Anlagen!F17</f>
        <v>96</v>
      </c>
      <c r="F17" s="30" t="n">
        <f aca="false">Buchungsquote!T17</f>
        <v>0.549803783275463</v>
      </c>
      <c r="G17" s="31" t="n">
        <f aca="false">Buchungsquote!V17</f>
        <v>52.7811631944444</v>
      </c>
      <c r="H17" s="38" t="n">
        <f aca="false">G17*Preis_Jahr</f>
        <v>6333.73958333333</v>
      </c>
      <c r="I17" s="30" t="n">
        <f aca="false">IFERROR(E17/INDEX(Standorte!$D$5:$D$92,MATCH(Netz!C17,Anlagen!$A$5:$A$92,0)),0)</f>
        <v>0.186770428015564</v>
      </c>
      <c r="J17" s="38" t="n">
        <f aca="false">Investition!N17+I17*IFERROR(INDEX(Standorte!$N$5:$N$92,MATCH(Netz!C17,Anlagen!$A$5:$A$92,0)),0)</f>
        <v>31448.9218558115</v>
      </c>
      <c r="K17" s="38" t="n">
        <f aca="false">Investition!O17+I17*IFERROR(INDEX(Standorte!$O$5:$O$92,MATCH(Netz!C17,Anlagen!$A$5:$A$92,0)),0)+H17*Zahlung</f>
        <v>2023.3868470654</v>
      </c>
      <c r="L17" s="38" t="n">
        <f aca="false">H17-K17</f>
        <v>4310.35273626794</v>
      </c>
      <c r="M17" s="31" t="n">
        <f aca="false">IF(L17&gt;0,J17/L17,"nie")</f>
        <v>7.29613648349372</v>
      </c>
      <c r="N17" s="38" t="n">
        <f aca="false">IF(G17&gt;0,J17/G17,0)</f>
        <v>595.836089097819</v>
      </c>
    </row>
    <row r="18" customFormat="false" ht="15" hidden="false" customHeight="false" outlineLevel="0" collapsed="false">
      <c r="A18" s="23" t="n">
        <f aca="false">Anlagen!A18</f>
        <v>14</v>
      </c>
      <c r="B18" s="23" t="str">
        <f aca="false">Anlagen!B18</f>
        <v>An der Plane I</v>
      </c>
      <c r="C18" s="23" t="str">
        <f aca="false">Anlagen!D18</f>
        <v>C – Qualifizierung</v>
      </c>
      <c r="D18" s="23" t="str">
        <f aca="false">Netz!N18</f>
        <v>Sommerfreude II: GW 3</v>
      </c>
      <c r="E18" s="23" t="n">
        <f aca="false">Anlagen!F18</f>
        <v>16</v>
      </c>
      <c r="F18" s="30" t="n">
        <f aca="false">Buchungsquote!T18</f>
        <v>0.485614973262032</v>
      </c>
      <c r="G18" s="31" t="n">
        <f aca="false">Buchungsquote!V18</f>
        <v>7.76983957219251</v>
      </c>
      <c r="H18" s="38" t="n">
        <f aca="false">G18*Preis_Jahr</f>
        <v>932.380748663102</v>
      </c>
      <c r="I18" s="30" t="n">
        <f aca="false">IFERROR(E18/INDEX(Standorte!$D$5:$D$92,MATCH(Netz!C18,Anlagen!$A$5:$A$92,0)),0)</f>
        <v>0.0440771349862259</v>
      </c>
      <c r="J18" s="38" t="n">
        <f aca="false">Investition!N18+I18*IFERROR(INDEX(Standorte!$N$5:$N$92,MATCH(Netz!C18,Anlagen!$A$5:$A$92,0)),0)</f>
        <v>9662.0428672924</v>
      </c>
      <c r="K18" s="38" t="n">
        <f aca="false">Investition!O18+I18*IFERROR(INDEX(Standorte!$O$5:$O$92,MATCH(Netz!C18,Anlagen!$A$5:$A$92,0)),0)+H18*Zahlung</f>
        <v>497.414526660483</v>
      </c>
      <c r="L18" s="38" t="n">
        <f aca="false">H18-K18</f>
        <v>434.966222002618</v>
      </c>
      <c r="M18" s="31" t="n">
        <f aca="false">IF(L18&gt;0,J18/L18,"nie")</f>
        <v>22.2133176751234</v>
      </c>
      <c r="N18" s="38" t="n">
        <f aca="false">IF(G18&gt;0,J18/G18,0)</f>
        <v>1243.53183582733</v>
      </c>
    </row>
    <row r="19" customFormat="false" ht="15" hidden="false" customHeight="false" outlineLevel="0" collapsed="false">
      <c r="A19" s="23" t="n">
        <f aca="false">Anlagen!A19</f>
        <v>15</v>
      </c>
      <c r="B19" s="23" t="str">
        <f aca="false">Anlagen!B19</f>
        <v>Bergeshöh</v>
      </c>
      <c r="C19" s="23" t="str">
        <f aca="false">Anlagen!D19</f>
        <v>A – Stabil</v>
      </c>
      <c r="D19" s="23" t="str">
        <f aca="false">Netz!N19</f>
        <v>Erdenglück: GW 2–3</v>
      </c>
      <c r="E19" s="23" t="n">
        <f aca="false">Anlagen!F19</f>
        <v>14</v>
      </c>
      <c r="F19" s="30" t="n">
        <f aca="false">Buchungsquote!T19</f>
        <v>0.610134629768138</v>
      </c>
      <c r="G19" s="31" t="n">
        <f aca="false">Buchungsquote!V19</f>
        <v>8.54188481675393</v>
      </c>
      <c r="H19" s="38" t="n">
        <f aca="false">G19*Preis_Jahr</f>
        <v>1025.02617801047</v>
      </c>
      <c r="I19" s="30" t="n">
        <f aca="false">IFERROR(E19/INDEX(Standorte!$D$5:$D$92,MATCH(Netz!C19,Anlagen!$A$5:$A$92,0)),0)</f>
        <v>0.0295983086680761</v>
      </c>
      <c r="J19" s="38" t="n">
        <f aca="false">Investition!N19+I19*IFERROR(INDEX(Standorte!$N$5:$N$92,MATCH(Netz!C19,Anlagen!$A$5:$A$92,0)),0)</f>
        <v>7809.21861034924</v>
      </c>
      <c r="K19" s="38" t="n">
        <f aca="false">Investition!O19+I19*IFERROR(INDEX(Standorte!$O$5:$O$92,MATCH(Netz!C19,Anlagen!$A$5:$A$92,0)),0)+H19*Zahlung</f>
        <v>398.669626948889</v>
      </c>
      <c r="L19" s="38" t="n">
        <f aca="false">H19-K19</f>
        <v>626.356551061583</v>
      </c>
      <c r="M19" s="31" t="n">
        <f aca="false">IF(L19&gt;0,J19/L19,"nie")</f>
        <v>12.4676888860087</v>
      </c>
      <c r="N19" s="38" t="n">
        <f aca="false">IF(G19&gt;0,J19/G19,0)</f>
        <v>914.226634739016</v>
      </c>
    </row>
    <row r="20" customFormat="false" ht="15" hidden="false" customHeight="false" outlineLevel="0" collapsed="false">
      <c r="A20" s="23" t="n">
        <f aca="false">Anlagen!A20</f>
        <v>16</v>
      </c>
      <c r="B20" s="23" t="str">
        <f aca="false">Anlagen!B20</f>
        <v>Bergfrieden</v>
      </c>
      <c r="C20" s="23" t="str">
        <f aca="false">Anlagen!D20</f>
        <v>C – Qualifizierung</v>
      </c>
      <c r="D20" s="23" t="str">
        <f aca="false">Netz!N20</f>
        <v>Bergfrieden: GW 1–3</v>
      </c>
      <c r="E20" s="23" t="n">
        <f aca="false">Anlagen!F20</f>
        <v>130</v>
      </c>
      <c r="F20" s="30" t="n">
        <f aca="false">Buchungsquote!T20</f>
        <v>0.440970879522818</v>
      </c>
      <c r="G20" s="31" t="n">
        <f aca="false">Buchungsquote!V20</f>
        <v>57.3262143379664</v>
      </c>
      <c r="H20" s="38" t="n">
        <f aca="false">G20*Preis_Jahr</f>
        <v>6879.14572055596</v>
      </c>
      <c r="I20" s="30" t="n">
        <f aca="false">IFERROR(E20/INDEX(Standorte!$D$5:$D$92,MATCH(Netz!C20,Anlagen!$A$5:$A$92,0)),0)</f>
        <v>0.702702702702703</v>
      </c>
      <c r="J20" s="38" t="n">
        <f aca="false">Investition!N20+I20*IFERROR(INDEX(Standorte!$N$5:$N$92,MATCH(Netz!C20,Anlagen!$A$5:$A$92,0)),0)</f>
        <v>39133.4567448154</v>
      </c>
      <c r="K20" s="38" t="n">
        <f aca="false">Investition!O20+I20*IFERROR(INDEX(Standorte!$O$5:$O$92,MATCH(Netz!C20,Anlagen!$A$5:$A$92,0)),0)+H20*Zahlung</f>
        <v>2818.99158747465</v>
      </c>
      <c r="L20" s="38" t="n">
        <f aca="false">H20-K20</f>
        <v>4060.15413308131</v>
      </c>
      <c r="M20" s="31" t="n">
        <f aca="false">IF(L20&gt;0,J20/L20,"nie")</f>
        <v>9.63841653841757</v>
      </c>
      <c r="N20" s="38" t="n">
        <f aca="false">IF(G20&gt;0,J20/G20,0)</f>
        <v>682.645055089532</v>
      </c>
    </row>
    <row r="21" customFormat="false" ht="15" hidden="false" customHeight="false" outlineLevel="0" collapsed="false">
      <c r="A21" s="23" t="n">
        <f aca="false">Anlagen!A21</f>
        <v>17</v>
      </c>
      <c r="B21" s="23" t="str">
        <f aca="false">Anlagen!B21</f>
        <v>Birkenwäldchen</v>
      </c>
      <c r="C21" s="23" t="str">
        <f aca="false">Anlagen!D21</f>
        <v>B – Beobachtung</v>
      </c>
      <c r="D21" s="23" t="str">
        <f aca="false">Netz!N21</f>
        <v>Birkenwäldchen: GW 1–2</v>
      </c>
      <c r="E21" s="23" t="n">
        <f aca="false">Anlagen!F21</f>
        <v>56</v>
      </c>
      <c r="F21" s="30" t="n">
        <f aca="false">Buchungsquote!T21</f>
        <v>0.589447942703326</v>
      </c>
      <c r="G21" s="31" t="n">
        <f aca="false">Buchungsquote!V21</f>
        <v>33.0090847913863</v>
      </c>
      <c r="H21" s="38" t="n">
        <f aca="false">G21*Preis_Jahr</f>
        <v>3961.09017496635</v>
      </c>
      <c r="I21" s="30" t="n">
        <f aca="false">IFERROR(E21/INDEX(Standorte!$D$5:$D$92,MATCH(Netz!C21,Anlagen!$A$5:$A$92,0)),0)</f>
        <v>0.103130755064457</v>
      </c>
      <c r="J21" s="38" t="n">
        <f aca="false">Investition!N21+I21*IFERROR(INDEX(Standorte!$N$5:$N$92,MATCH(Netz!C21,Anlagen!$A$5:$A$92,0)),0)</f>
        <v>17749.937280458</v>
      </c>
      <c r="K21" s="38" t="n">
        <f aca="false">Investition!O21+I21*IFERROR(INDEX(Standorte!$O$5:$O$92,MATCH(Netz!C21,Anlagen!$A$5:$A$92,0)),0)+H21*Zahlung</f>
        <v>1150.73634852461</v>
      </c>
      <c r="L21" s="38" t="n">
        <f aca="false">H21-K21</f>
        <v>2810.35382644175</v>
      </c>
      <c r="M21" s="31" t="n">
        <f aca="false">IF(L21&gt;0,J21/L21,"nie")</f>
        <v>6.31590837902841</v>
      </c>
      <c r="N21" s="38" t="n">
        <f aca="false">IF(G21&gt;0,J21/G21,0)</f>
        <v>537.728852303406</v>
      </c>
    </row>
    <row r="22" customFormat="false" ht="15" hidden="false" customHeight="false" outlineLevel="0" collapsed="false">
      <c r="A22" s="23" t="n">
        <f aca="false">Anlagen!A22</f>
        <v>18</v>
      </c>
      <c r="B22" s="23" t="str">
        <f aca="false">Anlagen!B22</f>
        <v>BKV Pfefferland</v>
      </c>
      <c r="C22" s="23" t="str">
        <f aca="false">Anlagen!D22</f>
        <v>B – Beobachtung</v>
      </c>
      <c r="D22" s="23" t="str">
        <f aca="false">Netz!N22</f>
        <v>Sommerfreude II: GW 3–4</v>
      </c>
      <c r="E22" s="23" t="n">
        <f aca="false">Anlagen!F22</f>
        <v>64</v>
      </c>
      <c r="F22" s="30" t="n">
        <f aca="false">Buchungsquote!T22</f>
        <v>0.608095781071836</v>
      </c>
      <c r="G22" s="31" t="n">
        <f aca="false">Buchungsquote!V22</f>
        <v>38.9181299885975</v>
      </c>
      <c r="H22" s="38" t="n">
        <f aca="false">G22*Preis_Jahr</f>
        <v>4670.1755986317</v>
      </c>
      <c r="I22" s="30" t="n">
        <f aca="false">IFERROR(E22/INDEX(Standorte!$D$5:$D$92,MATCH(Netz!C22,Anlagen!$A$5:$A$92,0)),0)</f>
        <v>0.176308539944904</v>
      </c>
      <c r="J22" s="38" t="n">
        <f aca="false">Investition!N22+I22*IFERROR(INDEX(Standorte!$N$5:$N$92,MATCH(Netz!C22,Anlagen!$A$5:$A$92,0)),0)</f>
        <v>22089.4129119688</v>
      </c>
      <c r="K22" s="38" t="n">
        <f aca="false">Investition!O22+I22*IFERROR(INDEX(Standorte!$O$5:$O$92,MATCH(Netz!C22,Anlagen!$A$5:$A$92,0)),0)+H22*Zahlung</f>
        <v>1342.61492804529</v>
      </c>
      <c r="L22" s="38" t="n">
        <f aca="false">H22-K22</f>
        <v>3327.56067058641</v>
      </c>
      <c r="M22" s="31" t="n">
        <f aca="false">IF(L22&gt;0,J22/L22,"nie")</f>
        <v>6.63832010854846</v>
      </c>
      <c r="N22" s="38" t="n">
        <f aca="false">IF(G22&gt;0,J22/G22,0)</f>
        <v>567.586698498635</v>
      </c>
    </row>
    <row r="23" customFormat="false" ht="15" hidden="false" customHeight="false" outlineLevel="0" collapsed="false">
      <c r="A23" s="23" t="n">
        <f aca="false">Anlagen!A23</f>
        <v>19</v>
      </c>
      <c r="B23" s="23" t="str">
        <f aca="false">Anlagen!B23</f>
        <v>Brielower Dreieck</v>
      </c>
      <c r="C23" s="23" t="str">
        <f aca="false">Anlagen!D23</f>
        <v>A – Stabil</v>
      </c>
      <c r="D23" s="23" t="str">
        <f aca="false">Netz!N23</f>
        <v>Traumland: GW 1–2</v>
      </c>
      <c r="E23" s="23" t="n">
        <f aca="false">Anlagen!F23</f>
        <v>35</v>
      </c>
      <c r="F23" s="30" t="n">
        <f aca="false">Buchungsquote!T23</f>
        <v>0.581279069767442</v>
      </c>
      <c r="G23" s="31" t="n">
        <f aca="false">Buchungsquote!V23</f>
        <v>20.3447674418605</v>
      </c>
      <c r="H23" s="38" t="n">
        <f aca="false">G23*Preis_Jahr</f>
        <v>2441.37209302326</v>
      </c>
      <c r="I23" s="30" t="n">
        <f aca="false">IFERROR(E23/INDEX(Standorte!$D$5:$D$92,MATCH(Netz!C23,Anlagen!$A$5:$A$92,0)),0)</f>
        <v>0.416666666666667</v>
      </c>
      <c r="J23" s="38" t="n">
        <f aca="false">Investition!N23+I23*IFERROR(INDEX(Standorte!$N$5:$N$92,MATCH(Netz!C23,Anlagen!$A$5:$A$92,0)),0)</f>
        <v>16258.9168024091</v>
      </c>
      <c r="K23" s="38" t="n">
        <f aca="false">Investition!O23+I23*IFERROR(INDEX(Standorte!$O$5:$O$92,MATCH(Netz!C23,Anlagen!$A$5:$A$92,0)),0)+H23*Zahlung</f>
        <v>1250.2170001963</v>
      </c>
      <c r="L23" s="38" t="n">
        <f aca="false">H23-K23</f>
        <v>1191.15509282695</v>
      </c>
      <c r="M23" s="31" t="n">
        <f aca="false">IF(L23&gt;0,J23/L23,"nie")</f>
        <v>13.6497059873387</v>
      </c>
      <c r="N23" s="38" t="n">
        <f aca="false">IF(G23&gt;0,J23/G23,0)</f>
        <v>799.169459610311</v>
      </c>
    </row>
    <row r="24" customFormat="false" ht="15" hidden="false" customHeight="false" outlineLevel="0" collapsed="false">
      <c r="A24" s="23" t="n">
        <f aca="false">Anlagen!A24</f>
        <v>20</v>
      </c>
      <c r="B24" s="23" t="str">
        <f aca="false">Anlagen!B24</f>
        <v>Buchenweg</v>
      </c>
      <c r="C24" s="23" t="str">
        <f aca="false">Anlagen!D24</f>
        <v>B – Beobachtung</v>
      </c>
      <c r="D24" s="23" t="str">
        <f aca="false">Netz!N24</f>
        <v>Glück im Winkel: GW 4–6</v>
      </c>
      <c r="E24" s="23" t="n">
        <f aca="false">Anlagen!F24</f>
        <v>86</v>
      </c>
      <c r="F24" s="30" t="n">
        <f aca="false">Buchungsquote!T24</f>
        <v>0.616386437329554</v>
      </c>
      <c r="G24" s="31" t="n">
        <f aca="false">Buchungsquote!V24</f>
        <v>53.0092336103416</v>
      </c>
      <c r="H24" s="38" t="n">
        <f aca="false">G24*Preis_Jahr</f>
        <v>6361.108033241</v>
      </c>
      <c r="I24" s="30" t="n">
        <f aca="false">IFERROR(E24/INDEX(Standorte!$D$5:$D$92,MATCH(Netz!C24,Anlagen!$A$5:$A$92,0)),0)</f>
        <v>0.159259259259259</v>
      </c>
      <c r="J24" s="38" t="n">
        <f aca="false">Investition!N24+I24*IFERROR(INDEX(Standorte!$N$5:$N$92,MATCH(Netz!C24,Anlagen!$A$5:$A$92,0)),0)</f>
        <v>27802.2868480816</v>
      </c>
      <c r="K24" s="38" t="n">
        <f aca="false">Investition!O24+I24*IFERROR(INDEX(Standorte!$O$5:$O$92,MATCH(Netz!C24,Anlagen!$A$5:$A$92,0)),0)+H24*Zahlung</f>
        <v>1785.57629088412</v>
      </c>
      <c r="L24" s="38" t="n">
        <f aca="false">H24-K24</f>
        <v>4575.53174235687</v>
      </c>
      <c r="M24" s="31" t="n">
        <f aca="false">IF(L24&gt;0,J24/L24,"nie")</f>
        <v>6.07629635495885</v>
      </c>
      <c r="N24" s="38" t="n">
        <f aca="false">IF(G24&gt;0,J24/G24,0)</f>
        <v>524.480075536455</v>
      </c>
    </row>
    <row r="25" customFormat="false" ht="15" hidden="false" customHeight="false" outlineLevel="0" collapsed="false">
      <c r="A25" s="23" t="n">
        <f aca="false">Anlagen!A25</f>
        <v>21</v>
      </c>
      <c r="B25" s="23" t="str">
        <f aca="false">Anlagen!B25</f>
        <v>Butterlake</v>
      </c>
      <c r="C25" s="23" t="str">
        <f aca="false">Anlagen!D25</f>
        <v>B – Beobachtung</v>
      </c>
      <c r="D25" s="23" t="str">
        <f aca="false">Netz!N25</f>
        <v>Fohrder Landstraße: GW 7–9</v>
      </c>
      <c r="E25" s="23" t="n">
        <f aca="false">Anlagen!F25</f>
        <v>75</v>
      </c>
      <c r="F25" s="30" t="n">
        <f aca="false">Buchungsquote!T25</f>
        <v>0.569271428571429</v>
      </c>
      <c r="G25" s="31" t="n">
        <f aca="false">Buchungsquote!V25</f>
        <v>42.6953571428572</v>
      </c>
      <c r="H25" s="38" t="n">
        <f aca="false">G25*Preis_Jahr</f>
        <v>5123.44285714286</v>
      </c>
      <c r="I25" s="30" t="n">
        <f aca="false">IFERROR(E25/INDEX(Standorte!$D$5:$D$92,MATCH(Netz!C25,Anlagen!$A$5:$A$92,0)),0)</f>
        <v>0.14591439688716</v>
      </c>
      <c r="J25" s="38" t="n">
        <f aca="false">Investition!N25+I25*IFERROR(INDEX(Standorte!$N$5:$N$92,MATCH(Netz!C25,Anlagen!$A$5:$A$92,0)),0)</f>
        <v>24010.3547876235</v>
      </c>
      <c r="K25" s="38" t="n">
        <f aca="false">Investition!O25+I25*IFERROR(INDEX(Standorte!$O$5:$O$92,MATCH(Netz!C25,Anlagen!$A$5:$A$92,0)),0)+H25*Zahlung</f>
        <v>1541.36315113287</v>
      </c>
      <c r="L25" s="38" t="n">
        <f aca="false">H25-K25</f>
        <v>3582.07970600998</v>
      </c>
      <c r="M25" s="31" t="n">
        <f aca="false">IF(L25&gt;0,J25/L25,"nie")</f>
        <v>6.70290913609184</v>
      </c>
      <c r="N25" s="38" t="n">
        <f aca="false">IF(G25&gt;0,J25/G25,0)</f>
        <v>562.364537841567</v>
      </c>
    </row>
    <row r="26" customFormat="false" ht="15" hidden="false" customHeight="false" outlineLevel="0" collapsed="false">
      <c r="A26" s="23" t="n">
        <f aca="false">Anlagen!A26</f>
        <v>22</v>
      </c>
      <c r="B26" s="23" t="str">
        <f aca="false">Anlagen!B26</f>
        <v>Eichhorstweg</v>
      </c>
      <c r="C26" s="23" t="str">
        <f aca="false">Anlagen!D26</f>
        <v>B – Beobachtung</v>
      </c>
      <c r="D26" s="23" t="str">
        <f aca="false">Netz!N26</f>
        <v>Eichhorstweg: GW 1</v>
      </c>
      <c r="E26" s="23" t="n">
        <f aca="false">Anlagen!F26</f>
        <v>38</v>
      </c>
      <c r="F26" s="30" t="n">
        <f aca="false">Buchungsquote!T26</f>
        <v>0.572690599956682</v>
      </c>
      <c r="G26" s="31" t="n">
        <f aca="false">Buchungsquote!V26</f>
        <v>21.7622427983539</v>
      </c>
      <c r="H26" s="38" t="n">
        <f aca="false">G26*Preis_Jahr</f>
        <v>2611.46913580247</v>
      </c>
      <c r="I26" s="30" t="n">
        <f aca="false">IFERROR(E26/INDEX(Standorte!$D$5:$D$92,MATCH(Netz!C26,Anlagen!$A$5:$A$92,0)),0)</f>
        <v>0.513513513513514</v>
      </c>
      <c r="J26" s="38" t="n">
        <f aca="false">Investition!N26+I26*IFERROR(INDEX(Standorte!$N$5:$N$92,MATCH(Netz!C26,Anlagen!$A$5:$A$92,0)),0)</f>
        <v>13711.8923811978</v>
      </c>
      <c r="K26" s="38" t="n">
        <f aca="false">Investition!O26+I26*IFERROR(INDEX(Standorte!$O$5:$O$92,MATCH(Netz!C26,Anlagen!$A$5:$A$92,0)),0)+H26*Zahlung</f>
        <v>1297.61435902352</v>
      </c>
      <c r="L26" s="38" t="n">
        <f aca="false">H26-K26</f>
        <v>1313.85477677895</v>
      </c>
      <c r="M26" s="31" t="n">
        <f aca="false">IF(L26&gt;0,J26/L26,"nie")</f>
        <v>10.4363835513191</v>
      </c>
      <c r="N26" s="38" t="n">
        <f aca="false">IF(G26&gt;0,J26/G26,0)</f>
        <v>630.077171192803</v>
      </c>
    </row>
    <row r="27" customFormat="false" ht="15" hidden="false" customHeight="false" outlineLevel="0" collapsed="false">
      <c r="A27" s="23" t="n">
        <f aca="false">Anlagen!A27</f>
        <v>23</v>
      </c>
      <c r="B27" s="23" t="str">
        <f aca="false">Anlagen!B27</f>
        <v>Eigener Fleiß</v>
      </c>
      <c r="C27" s="23" t="str">
        <f aca="false">Anlagen!D27</f>
        <v>A – Stabil</v>
      </c>
      <c r="D27" s="23" t="str">
        <f aca="false">Netz!N27</f>
        <v>Eigener Fleiß: GW 1–3</v>
      </c>
      <c r="E27" s="23" t="n">
        <f aca="false">Anlagen!F27</f>
        <v>123</v>
      </c>
      <c r="F27" s="30" t="n">
        <f aca="false">Buchungsquote!T27</f>
        <v>0.575328947368421</v>
      </c>
      <c r="G27" s="31" t="n">
        <f aca="false">Buchungsquote!V27</f>
        <v>70.7654605263158</v>
      </c>
      <c r="H27" s="38" t="n">
        <f aca="false">G27*Preis_Jahr</f>
        <v>8491.85526315789</v>
      </c>
      <c r="I27" s="30" t="n">
        <f aca="false">IFERROR(E27/INDEX(Standorte!$D$5:$D$92,MATCH(Netz!C27,Anlagen!$A$5:$A$92,0)),0)</f>
        <v>0.225274725274725</v>
      </c>
      <c r="J27" s="38" t="n">
        <f aca="false">Investition!N27+I27*IFERROR(INDEX(Standorte!$N$5:$N$92,MATCH(Netz!C27,Anlagen!$A$5:$A$92,0)),0)</f>
        <v>35350.3842496642</v>
      </c>
      <c r="K27" s="38" t="n">
        <f aca="false">Investition!O27+I27*IFERROR(INDEX(Standorte!$O$5:$O$92,MATCH(Netz!C27,Anlagen!$A$5:$A$92,0)),0)+H27*Zahlung</f>
        <v>2362.27103153851</v>
      </c>
      <c r="L27" s="38" t="n">
        <f aca="false">H27-K27</f>
        <v>6129.58423161939</v>
      </c>
      <c r="M27" s="31" t="n">
        <f aca="false">IF(L27&gt;0,J27/L27,"nie")</f>
        <v>5.76717488721497</v>
      </c>
      <c r="N27" s="38" t="n">
        <f aca="false">IF(G27&gt;0,J27/G27,0)</f>
        <v>499.54291241443</v>
      </c>
    </row>
    <row r="28" customFormat="false" ht="15" hidden="false" customHeight="false" outlineLevel="0" collapsed="false">
      <c r="A28" s="23" t="n">
        <f aca="false">Anlagen!A28</f>
        <v>24</v>
      </c>
      <c r="B28" s="23" t="str">
        <f aca="false">Anlagen!B28</f>
        <v>Einheit</v>
      </c>
      <c r="C28" s="23" t="str">
        <f aca="false">Anlagen!D28</f>
        <v>A – Stabil</v>
      </c>
      <c r="D28" s="23" t="str">
        <f aca="false">Netz!N28</f>
        <v>Eigener Fleiß: GW 4–6</v>
      </c>
      <c r="E28" s="23" t="n">
        <f aca="false">Anlagen!F28</f>
        <v>99</v>
      </c>
      <c r="F28" s="30" t="n">
        <f aca="false">Buchungsquote!T28</f>
        <v>0.614859095504257</v>
      </c>
      <c r="G28" s="31" t="n">
        <f aca="false">Buchungsquote!V28</f>
        <v>60.8710504549214</v>
      </c>
      <c r="H28" s="38" t="n">
        <f aca="false">G28*Preis_Jahr</f>
        <v>7304.52605459057</v>
      </c>
      <c r="I28" s="30" t="n">
        <f aca="false">IFERROR(E28/INDEX(Standorte!$D$5:$D$92,MATCH(Netz!C28,Anlagen!$A$5:$A$92,0)),0)</f>
        <v>0.181318681318681</v>
      </c>
      <c r="J28" s="38" t="n">
        <f aca="false">Investition!N28+I28*IFERROR(INDEX(Standorte!$N$5:$N$92,MATCH(Netz!C28,Anlagen!$A$5:$A$92,0)),0)</f>
        <v>31535.2514300838</v>
      </c>
      <c r="K28" s="38" t="n">
        <f aca="false">Investition!O28+I28*IFERROR(INDEX(Standorte!$O$5:$O$92,MATCH(Netz!C28,Anlagen!$A$5:$A$92,0)),0)+H28*Zahlung</f>
        <v>2041.28178607869</v>
      </c>
      <c r="L28" s="38" t="n">
        <f aca="false">H28-K28</f>
        <v>5263.24426851188</v>
      </c>
      <c r="M28" s="31" t="n">
        <f aca="false">IF(L28&gt;0,J28/L28,"nie")</f>
        <v>5.99159944347406</v>
      </c>
      <c r="N28" s="38" t="n">
        <f aca="false">IF(G28&gt;0,J28/G28,0)</f>
        <v>518.066489643341</v>
      </c>
    </row>
    <row r="29" customFormat="false" ht="15" hidden="false" customHeight="false" outlineLevel="0" collapsed="false">
      <c r="A29" s="23" t="n">
        <f aca="false">Anlagen!A29</f>
        <v>25</v>
      </c>
      <c r="B29" s="23" t="str">
        <f aca="false">Anlagen!B29</f>
        <v>Einigkeit</v>
      </c>
      <c r="C29" s="23" t="str">
        <f aca="false">Anlagen!D29</f>
        <v>A – Stabil</v>
      </c>
      <c r="D29" s="23" t="str">
        <f aca="false">Netz!N29</f>
        <v>Kammgarn: GW 1</v>
      </c>
      <c r="E29" s="23" t="n">
        <f aca="false">Anlagen!F29</f>
        <v>14</v>
      </c>
      <c r="F29" s="30" t="n">
        <f aca="false">Buchungsquote!T29</f>
        <v>0.62043795620438</v>
      </c>
      <c r="G29" s="31" t="n">
        <f aca="false">Buchungsquote!V29</f>
        <v>8.68613138686132</v>
      </c>
      <c r="H29" s="38" t="n">
        <f aca="false">G29*Preis_Jahr</f>
        <v>1042.33576642336</v>
      </c>
      <c r="I29" s="30" t="n">
        <f aca="false">IFERROR(E29/INDEX(Standorte!$D$5:$D$92,MATCH(Netz!C29,Anlagen!$A$5:$A$92,0)),0)</f>
        <v>0.150537634408602</v>
      </c>
      <c r="J29" s="38" t="n">
        <f aca="false">Investition!N29+I29*IFERROR(INDEX(Standorte!$N$5:$N$92,MATCH(Netz!C29,Anlagen!$A$5:$A$92,0)),0)</f>
        <v>6642.8185060467</v>
      </c>
      <c r="K29" s="38" t="n">
        <f aca="false">Investition!O29+I29*IFERROR(INDEX(Standorte!$O$5:$O$92,MATCH(Netz!C29,Anlagen!$A$5:$A$92,0)),0)+H29*Zahlung</f>
        <v>474.568606668725</v>
      </c>
      <c r="L29" s="38" t="n">
        <f aca="false">H29-K29</f>
        <v>567.767159754633</v>
      </c>
      <c r="M29" s="31" t="n">
        <f aca="false">IF(L29&gt;0,J29/L29,"nie")</f>
        <v>11.6998991433697</v>
      </c>
      <c r="N29" s="38" t="n">
        <f aca="false">IF(G29&gt;0,J29/G29,0)</f>
        <v>764.761458259157</v>
      </c>
    </row>
    <row r="30" customFormat="false" ht="15" hidden="false" customHeight="false" outlineLevel="0" collapsed="false">
      <c r="A30" s="23" t="n">
        <f aca="false">Anlagen!A30</f>
        <v>26</v>
      </c>
      <c r="B30" s="23" t="str">
        <f aca="false">Anlagen!B30</f>
        <v>Eintracht I</v>
      </c>
      <c r="C30" s="23" t="str">
        <f aca="false">Anlagen!D30</f>
        <v>A – Stabil</v>
      </c>
      <c r="D30" s="23" t="str">
        <f aca="false">Netz!N30</f>
        <v>Eigener Fleiß: GW 6</v>
      </c>
      <c r="E30" s="23" t="n">
        <f aca="false">Anlagen!F30</f>
        <v>32</v>
      </c>
      <c r="F30" s="30" t="n">
        <f aca="false">Buchungsquote!T30</f>
        <v>0.586790236928105</v>
      </c>
      <c r="G30" s="31" t="n">
        <f aca="false">Buchungsquote!V30</f>
        <v>18.7772875816993</v>
      </c>
      <c r="H30" s="38" t="n">
        <f aca="false">G30*Preis_Jahr</f>
        <v>2253.27450980392</v>
      </c>
      <c r="I30" s="30" t="n">
        <f aca="false">IFERROR(E30/INDEX(Standorte!$D$5:$D$92,MATCH(Netz!C30,Anlagen!$A$5:$A$92,0)),0)</f>
        <v>0.0586080586080586</v>
      </c>
      <c r="J30" s="38" t="n">
        <f aca="false">Investition!N30+I30*IFERROR(INDEX(Standorte!$N$5:$N$92,MATCH(Netz!C30,Anlagen!$A$5:$A$92,0)),0)</f>
        <v>13558.781367055</v>
      </c>
      <c r="K30" s="38" t="n">
        <f aca="false">Investition!O30+I30*IFERROR(INDEX(Standorte!$O$5:$O$92,MATCH(Netz!C30,Anlagen!$A$5:$A$92,0)),0)+H30*Zahlung</f>
        <v>801.415522459614</v>
      </c>
      <c r="L30" s="38" t="n">
        <f aca="false">H30-K30</f>
        <v>1451.85898734431</v>
      </c>
      <c r="M30" s="31" t="n">
        <f aca="false">IF(L30&gt;0,J30/L30,"nie")</f>
        <v>9.33891065540482</v>
      </c>
      <c r="N30" s="38" t="n">
        <f aca="false">IF(G30&gt;0,J30/G30,0)</f>
        <v>722.084129992748</v>
      </c>
    </row>
    <row r="31" customFormat="false" ht="15" hidden="false" customHeight="false" outlineLevel="0" collapsed="false">
      <c r="A31" s="23" t="n">
        <f aca="false">Anlagen!A31</f>
        <v>27</v>
      </c>
      <c r="B31" s="23" t="str">
        <f aca="false">Anlagen!B31</f>
        <v>Eintracht II</v>
      </c>
      <c r="C31" s="23" t="str">
        <f aca="false">Anlagen!D31</f>
        <v>A – Stabil</v>
      </c>
      <c r="D31" s="23" t="str">
        <f aca="false">Netz!N31</f>
        <v>Birkenwäldchen: GW 3–4</v>
      </c>
      <c r="E31" s="23" t="n">
        <f aca="false">Anlagen!F31</f>
        <v>42</v>
      </c>
      <c r="F31" s="30" t="n">
        <f aca="false">Buchungsquote!T31</f>
        <v>0.594276094276094</v>
      </c>
      <c r="G31" s="31" t="n">
        <f aca="false">Buchungsquote!V31</f>
        <v>24.959595959596</v>
      </c>
      <c r="H31" s="38" t="n">
        <f aca="false">G31*Preis_Jahr</f>
        <v>2995.15151515151</v>
      </c>
      <c r="I31" s="30" t="n">
        <f aca="false">IFERROR(E31/INDEX(Standorte!$D$5:$D$92,MATCH(Netz!C31,Anlagen!$A$5:$A$92,0)),0)</f>
        <v>0.0773480662983425</v>
      </c>
      <c r="J31" s="38" t="n">
        <f aca="false">Investition!N31+I31*IFERROR(INDEX(Standorte!$N$5:$N$92,MATCH(Netz!C31,Anlagen!$A$5:$A$92,0)),0)</f>
        <v>16973.4274179673</v>
      </c>
      <c r="K31" s="38" t="n">
        <f aca="false">Investition!O31+I31*IFERROR(INDEX(Standorte!$O$5:$O$92,MATCH(Netz!C31,Anlagen!$A$5:$A$92,0)),0)+H31*Zahlung</f>
        <v>973.611511639975</v>
      </c>
      <c r="L31" s="38" t="n">
        <f aca="false">H31-K31</f>
        <v>2021.54000351154</v>
      </c>
      <c r="M31" s="31" t="n">
        <f aca="false">IF(L31&gt;0,J31/L31,"nie")</f>
        <v>8.396285697282</v>
      </c>
      <c r="N31" s="38" t="n">
        <f aca="false">IF(G31&gt;0,J31/G31,0)</f>
        <v>680.0361450339</v>
      </c>
    </row>
    <row r="32" customFormat="false" ht="15" hidden="false" customHeight="false" outlineLevel="0" collapsed="false">
      <c r="A32" s="23" t="n">
        <f aca="false">Anlagen!A32</f>
        <v>28</v>
      </c>
      <c r="B32" s="23" t="str">
        <f aca="false">Anlagen!B32</f>
        <v>Erdenglück</v>
      </c>
      <c r="C32" s="23" t="str">
        <f aca="false">Anlagen!D32</f>
        <v>B – Beobachtung</v>
      </c>
      <c r="D32" s="23" t="str">
        <f aca="false">Netz!N32</f>
        <v>Erdenglück: GW 1–2</v>
      </c>
      <c r="E32" s="23" t="n">
        <f aca="false">Anlagen!F32</f>
        <v>99</v>
      </c>
      <c r="F32" s="30" t="n">
        <f aca="false">Buchungsquote!T32</f>
        <v>0.554257524900437</v>
      </c>
      <c r="G32" s="31" t="n">
        <f aca="false">Buchungsquote!V32</f>
        <v>54.8714949651433</v>
      </c>
      <c r="H32" s="38" t="n">
        <f aca="false">G32*Preis_Jahr</f>
        <v>6584.5793958172</v>
      </c>
      <c r="I32" s="30" t="n">
        <f aca="false">IFERROR(E32/INDEX(Standorte!$D$5:$D$92,MATCH(Netz!C32,Anlagen!$A$5:$A$92,0)),0)</f>
        <v>0.209302325581395</v>
      </c>
      <c r="J32" s="38" t="n">
        <f aca="false">Investition!N32+I32*IFERROR(INDEX(Standorte!$N$5:$N$92,MATCH(Netz!C32,Anlagen!$A$5:$A$92,0)),0)</f>
        <v>29101.1448311976</v>
      </c>
      <c r="K32" s="38" t="n">
        <f aca="false">Investition!O32+I32*IFERROR(INDEX(Standorte!$O$5:$O$92,MATCH(Netz!C32,Anlagen!$A$5:$A$92,0)),0)+H32*Zahlung</f>
        <v>2011.36358727556</v>
      </c>
      <c r="L32" s="38" t="n">
        <f aca="false">H32-K32</f>
        <v>4573.21580854164</v>
      </c>
      <c r="M32" s="31" t="n">
        <f aca="false">IF(L32&gt;0,J32/L32,"nie")</f>
        <v>6.36338761377582</v>
      </c>
      <c r="N32" s="38" t="n">
        <f aca="false">IF(G32&gt;0,J32/G32,0)</f>
        <v>530.350865229458</v>
      </c>
    </row>
    <row r="33" customFormat="false" ht="15" hidden="false" customHeight="false" outlineLevel="0" collapsed="false">
      <c r="A33" s="23" t="n">
        <f aca="false">Anlagen!A33</f>
        <v>29</v>
      </c>
      <c r="B33" s="23" t="str">
        <f aca="false">Anlagen!B33</f>
        <v>Erntesegen</v>
      </c>
      <c r="C33" s="23" t="str">
        <f aca="false">Anlagen!D33</f>
        <v>A – Stabil</v>
      </c>
      <c r="D33" s="23" t="str">
        <f aca="false">Netz!N33</f>
        <v>Erdenglück: GW 3–4</v>
      </c>
      <c r="E33" s="23" t="n">
        <f aca="false">Anlagen!F33</f>
        <v>92</v>
      </c>
      <c r="F33" s="30" t="n">
        <f aca="false">Buchungsquote!T33</f>
        <v>0.613816359483302</v>
      </c>
      <c r="G33" s="31" t="n">
        <f aca="false">Buchungsquote!V33</f>
        <v>56.4711050724638</v>
      </c>
      <c r="H33" s="38" t="n">
        <f aca="false">G33*Preis_Jahr</f>
        <v>6776.53260869565</v>
      </c>
      <c r="I33" s="30" t="n">
        <f aca="false">IFERROR(E33/INDEX(Standorte!$D$5:$D$92,MATCH(Netz!C33,Anlagen!$A$5:$A$92,0)),0)</f>
        <v>0.194503171247357</v>
      </c>
      <c r="J33" s="38" t="n">
        <f aca="false">Investition!N33+I33*IFERROR(INDEX(Standorte!$N$5:$N$92,MATCH(Netz!C33,Anlagen!$A$5:$A$92,0)),0)</f>
        <v>30953.3234212943</v>
      </c>
      <c r="K33" s="38" t="n">
        <f aca="false">Investition!O33+I33*IFERROR(INDEX(Standorte!$O$5:$O$92,MATCH(Netz!C33,Anlagen!$A$5:$A$92,0)),0)+H33*Zahlung</f>
        <v>1976.11639971577</v>
      </c>
      <c r="L33" s="38" t="n">
        <f aca="false">H33-K33</f>
        <v>4800.41620897989</v>
      </c>
      <c r="M33" s="31" t="n">
        <f aca="false">IF(L33&gt;0,J33/L33,"nie")</f>
        <v>6.44804993437684</v>
      </c>
      <c r="N33" s="38" t="n">
        <f aca="false">IF(G33&gt;0,J33/G33,0)</f>
        <v>548.126752284641</v>
      </c>
    </row>
    <row r="34" customFormat="false" ht="15" hidden="false" customHeight="false" outlineLevel="0" collapsed="false">
      <c r="A34" s="23" t="n">
        <f aca="false">Anlagen!A34</f>
        <v>30</v>
      </c>
      <c r="B34" s="23" t="str">
        <f aca="false">Anlagen!B34</f>
        <v>Feierabend</v>
      </c>
      <c r="C34" s="23" t="str">
        <f aca="false">Anlagen!D34</f>
        <v>A – Stabil</v>
      </c>
      <c r="D34" s="23" t="str">
        <f aca="false">Netz!N34</f>
        <v>Feierabend: GW 1–4</v>
      </c>
      <c r="E34" s="23" t="n">
        <f aca="false">Anlagen!F34</f>
        <v>190</v>
      </c>
      <c r="F34" s="30" t="n">
        <f aca="false">Buchungsquote!T34</f>
        <v>0.542009124627392</v>
      </c>
      <c r="G34" s="31" t="n">
        <f aca="false">Buchungsquote!V34</f>
        <v>102.981733679205</v>
      </c>
      <c r="H34" s="38" t="n">
        <f aca="false">G34*Preis_Jahr</f>
        <v>12357.8080415045</v>
      </c>
      <c r="I34" s="30" t="n">
        <f aca="false">IFERROR(E34/INDEX(Standorte!$D$5:$D$92,MATCH(Netz!C34,Anlagen!$A$5:$A$92,0)),0)</f>
        <v>0.347985347985348</v>
      </c>
      <c r="J34" s="38" t="n">
        <f aca="false">Investition!N34+I34*IFERROR(INDEX(Standorte!$N$5:$N$92,MATCH(Netz!C34,Anlagen!$A$5:$A$92,0)),0)</f>
        <v>54235.7607532877</v>
      </c>
      <c r="K34" s="38" t="n">
        <f aca="false">Investition!O34+I34*IFERROR(INDEX(Standorte!$O$5:$O$92,MATCH(Netz!C34,Anlagen!$A$5:$A$92,0)),0)+H34*Zahlung</f>
        <v>3653.34552538223</v>
      </c>
      <c r="L34" s="38" t="n">
        <f aca="false">H34-K34</f>
        <v>8704.46251612231</v>
      </c>
      <c r="M34" s="31" t="n">
        <f aca="false">IF(L34&gt;0,J34/L34,"nie")</f>
        <v>6.23079950690037</v>
      </c>
      <c r="N34" s="38" t="n">
        <f aca="false">IF(G34&gt;0,J34/G34,0)</f>
        <v>526.654182403221</v>
      </c>
    </row>
    <row r="35" customFormat="false" ht="15" hidden="false" customHeight="false" outlineLevel="0" collapsed="false">
      <c r="A35" s="23" t="n">
        <f aca="false">Anlagen!A35</f>
        <v>31</v>
      </c>
      <c r="B35" s="23" t="str">
        <f aca="false">Anlagen!B35</f>
        <v>Feldstraße</v>
      </c>
      <c r="C35" s="23" t="str">
        <f aca="false">Anlagen!D35</f>
        <v>C – Qualifizierung</v>
      </c>
      <c r="D35" s="23" t="str">
        <f aca="false">Netz!N35</f>
        <v>Glück im Winkel: GW 6–7</v>
      </c>
      <c r="E35" s="23" t="n">
        <f aca="false">Anlagen!F35</f>
        <v>68</v>
      </c>
      <c r="F35" s="30" t="n">
        <f aca="false">Buchungsquote!T35</f>
        <v>0.492741623231571</v>
      </c>
      <c r="G35" s="31" t="n">
        <f aca="false">Buchungsquote!V35</f>
        <v>33.5064303797468</v>
      </c>
      <c r="H35" s="38" t="n">
        <f aca="false">G35*Preis_Jahr</f>
        <v>4020.77164556962</v>
      </c>
      <c r="I35" s="30" t="n">
        <f aca="false">IFERROR(E35/INDEX(Standorte!$D$5:$D$92,MATCH(Netz!C35,Anlagen!$A$5:$A$92,0)),0)</f>
        <v>0.125925925925926</v>
      </c>
      <c r="J35" s="38" t="n">
        <f aca="false">Investition!N35+I35*IFERROR(INDEX(Standorte!$N$5:$N$92,MATCH(Netz!C35,Anlagen!$A$5:$A$92,0)),0)</f>
        <v>22362.9437737329</v>
      </c>
      <c r="K35" s="38" t="n">
        <f aca="false">Investition!O35+I35*IFERROR(INDEX(Standorte!$O$5:$O$92,MATCH(Netz!C35,Anlagen!$A$5:$A$92,0)),0)+H35*Zahlung</f>
        <v>1408.19590702352</v>
      </c>
      <c r="L35" s="38" t="n">
        <f aca="false">H35-K35</f>
        <v>2612.5757385461</v>
      </c>
      <c r="M35" s="31" t="n">
        <f aca="false">IF(L35&gt;0,J35/L35,"nie")</f>
        <v>8.55973032428829</v>
      </c>
      <c r="N35" s="38" t="n">
        <f aca="false">IF(G35&gt;0,J35/G35,0)</f>
        <v>667.422447580401</v>
      </c>
    </row>
    <row r="36" customFormat="false" ht="15" hidden="false" customHeight="false" outlineLevel="0" collapsed="false">
      <c r="A36" s="23" t="n">
        <f aca="false">Anlagen!A36</f>
        <v>32</v>
      </c>
      <c r="B36" s="23" t="str">
        <f aca="false">Anlagen!B36</f>
        <v>Finkenhain</v>
      </c>
      <c r="C36" s="23" t="str">
        <f aca="false">Anlagen!D36</f>
        <v>C – Qualifizierung</v>
      </c>
      <c r="D36" s="23" t="str">
        <f aca="false">Netz!N36</f>
        <v>Erdenglück: GW 4</v>
      </c>
      <c r="E36" s="23" t="n">
        <f aca="false">Anlagen!F36</f>
        <v>8</v>
      </c>
      <c r="F36" s="30" t="n">
        <f aca="false">Buchungsquote!T36</f>
        <v>0.493125</v>
      </c>
      <c r="G36" s="31" t="n">
        <f aca="false">Buchungsquote!V36</f>
        <v>3.945</v>
      </c>
      <c r="H36" s="38" t="n">
        <f aca="false">G36*Preis_Jahr</f>
        <v>473.4</v>
      </c>
      <c r="I36" s="30" t="n">
        <f aca="false">IFERROR(E36/INDEX(Standorte!$D$5:$D$92,MATCH(Netz!C36,Anlagen!$A$5:$A$92,0)),0)</f>
        <v>0.0169133192389006</v>
      </c>
      <c r="J36" s="38" t="n">
        <f aca="false">Investition!N36+I36*IFERROR(INDEX(Standorte!$N$5:$N$92,MATCH(Netz!C36,Anlagen!$A$5:$A$92,0)),0)</f>
        <v>6255.36008389347</v>
      </c>
      <c r="K36" s="38" t="n">
        <f aca="false">Investition!O36+I36*IFERROR(INDEX(Standorte!$O$5:$O$92,MATCH(Netz!C36,Anlagen!$A$5:$A$92,0)),0)+H36*Zahlung</f>
        <v>303.729821544288</v>
      </c>
      <c r="L36" s="38" t="n">
        <f aca="false">H36-K36</f>
        <v>169.670178455712</v>
      </c>
      <c r="M36" s="31" t="n">
        <f aca="false">IF(L36&gt;0,J36/L36,"nie")</f>
        <v>36.8677639219097</v>
      </c>
      <c r="N36" s="38" t="n">
        <f aca="false">IF(G36&gt;0,J36/G36,0)</f>
        <v>1585.6426068171</v>
      </c>
    </row>
    <row r="37" customFormat="false" ht="15" hidden="false" customHeight="false" outlineLevel="0" collapsed="false">
      <c r="A37" s="23" t="n">
        <f aca="false">Anlagen!A37</f>
        <v>33</v>
      </c>
      <c r="B37" s="23" t="str">
        <f aca="false">Anlagen!B37</f>
        <v>Fohrder Landstraße</v>
      </c>
      <c r="C37" s="23" t="str">
        <f aca="false">Anlagen!D37</f>
        <v>A – Stabil</v>
      </c>
      <c r="D37" s="23" t="str">
        <f aca="false">Netz!N37</f>
        <v>Fohrder Landstraße: GW 1–3</v>
      </c>
      <c r="E37" s="23" t="n">
        <f aca="false">Anlagen!F37</f>
        <v>127</v>
      </c>
      <c r="F37" s="30" t="n">
        <f aca="false">Buchungsquote!T37</f>
        <v>0.565486725663717</v>
      </c>
      <c r="G37" s="31" t="n">
        <f aca="false">Buchungsquote!V37</f>
        <v>71.816814159292</v>
      </c>
      <c r="H37" s="38" t="n">
        <f aca="false">G37*Preis_Jahr</f>
        <v>8618.01769911504</v>
      </c>
      <c r="I37" s="30" t="n">
        <f aca="false">IFERROR(E37/INDEX(Standorte!$D$5:$D$92,MATCH(Netz!C37,Anlagen!$A$5:$A$92,0)),0)</f>
        <v>0.247081712062257</v>
      </c>
      <c r="J37" s="38" t="n">
        <f aca="false">Investition!N37+I37*IFERROR(INDEX(Standorte!$N$5:$N$92,MATCH(Netz!C37,Anlagen!$A$5:$A$92,0)),0)</f>
        <v>37686.929656116</v>
      </c>
      <c r="K37" s="38" t="n">
        <f aca="false">Investition!O37+I37*IFERROR(INDEX(Standorte!$O$5:$O$92,MATCH(Netz!C37,Anlagen!$A$5:$A$92,0)),0)+H37*Zahlung</f>
        <v>2550.92643622113</v>
      </c>
      <c r="L37" s="38" t="n">
        <f aca="false">H37-K37</f>
        <v>6067.09126289391</v>
      </c>
      <c r="M37" s="31" t="n">
        <f aca="false">IF(L37&gt;0,J37/L37,"nie")</f>
        <v>6.21169651536442</v>
      </c>
      <c r="N37" s="38" t="n">
        <f aca="false">IF(G37&gt;0,J37/G37,0)</f>
        <v>524.764710009625</v>
      </c>
    </row>
    <row r="38" customFormat="false" ht="15" hidden="false" customHeight="false" outlineLevel="0" collapsed="false">
      <c r="A38" s="23" t="n">
        <f aca="false">Anlagen!A38</f>
        <v>34</v>
      </c>
      <c r="B38" s="23" t="str">
        <f aca="false">Anlagen!B38</f>
        <v>Freiheit</v>
      </c>
      <c r="C38" s="23" t="str">
        <f aca="false">Anlagen!D38</f>
        <v>C – Qualifizierung</v>
      </c>
      <c r="D38" s="23" t="str">
        <f aca="false">Netz!N38</f>
        <v>Helgoland: GW 4–5</v>
      </c>
      <c r="E38" s="23" t="n">
        <f aca="false">Anlagen!F38</f>
        <v>55</v>
      </c>
      <c r="F38" s="30" t="n">
        <f aca="false">Buchungsquote!T38</f>
        <v>0.522259530791789</v>
      </c>
      <c r="G38" s="31" t="n">
        <f aca="false">Buchungsquote!V38</f>
        <v>28.7242741935484</v>
      </c>
      <c r="H38" s="38" t="n">
        <f aca="false">G38*Preis_Jahr</f>
        <v>3446.91290322581</v>
      </c>
      <c r="I38" s="30" t="n">
        <f aca="false">IFERROR(E38/INDEX(Standorte!$D$5:$D$92,MATCH(Netz!C38,Anlagen!$A$5:$A$92,0)),0)</f>
        <v>0.100182149362477</v>
      </c>
      <c r="J38" s="38" t="n">
        <f aca="false">Investition!N38+I38*IFERROR(INDEX(Standorte!$N$5:$N$92,MATCH(Netz!C38,Anlagen!$A$5:$A$92,0)),0)</f>
        <v>20861.3852210781</v>
      </c>
      <c r="K38" s="38" t="n">
        <f aca="false">Investition!O38+I38*IFERROR(INDEX(Standorte!$O$5:$O$92,MATCH(Netz!C38,Anlagen!$A$5:$A$92,0)),0)+H38*Zahlung</f>
        <v>1221.18063771819</v>
      </c>
      <c r="L38" s="38" t="n">
        <f aca="false">H38-K38</f>
        <v>2225.73226550762</v>
      </c>
      <c r="M38" s="31" t="n">
        <f aca="false">IF(L38&gt;0,J38/L38,"nie")</f>
        <v>9.37281879962336</v>
      </c>
      <c r="N38" s="38" t="n">
        <f aca="false">IF(G38&gt;0,J38/G38,0)</f>
        <v>726.263267106804</v>
      </c>
    </row>
    <row r="39" customFormat="false" ht="15" hidden="false" customHeight="false" outlineLevel="0" collapsed="false">
      <c r="A39" s="23" t="n">
        <f aca="false">Anlagen!A39</f>
        <v>35</v>
      </c>
      <c r="B39" s="23" t="str">
        <f aca="false">Anlagen!B39</f>
        <v>Freizeit</v>
      </c>
      <c r="C39" s="23" t="str">
        <f aca="false">Anlagen!D39</f>
        <v>B – Beobachtung</v>
      </c>
      <c r="D39" s="23" t="str">
        <f aca="false">Netz!N39</f>
        <v>Glück im Winkel: GW 7–8</v>
      </c>
      <c r="E39" s="23" t="n">
        <f aca="false">Anlagen!F39</f>
        <v>63</v>
      </c>
      <c r="F39" s="30" t="n">
        <f aca="false">Buchungsquote!T39</f>
        <v>0.566180129009533</v>
      </c>
      <c r="G39" s="31" t="n">
        <f aca="false">Buchungsquote!V39</f>
        <v>35.6693481276006</v>
      </c>
      <c r="H39" s="38" t="n">
        <f aca="false">G39*Preis_Jahr</f>
        <v>4280.32177531207</v>
      </c>
      <c r="I39" s="30" t="n">
        <f aca="false">IFERROR(E39/INDEX(Standorte!$D$5:$D$92,MATCH(Netz!C39,Anlagen!$A$5:$A$92,0)),0)</f>
        <v>0.116666666666667</v>
      </c>
      <c r="J39" s="38" t="n">
        <f aca="false">Investition!N39+I39*IFERROR(INDEX(Standorte!$N$5:$N$92,MATCH(Netz!C39,Anlagen!$A$5:$A$92,0)),0)</f>
        <v>21924.356590211</v>
      </c>
      <c r="K39" s="38" t="n">
        <f aca="false">Investition!O39+I39*IFERROR(INDEX(Standorte!$O$5:$O$92,MATCH(Netz!C39,Anlagen!$A$5:$A$92,0)),0)+H39*Zahlung</f>
        <v>1379.35535096569</v>
      </c>
      <c r="L39" s="38" t="n">
        <f aca="false">H39-K39</f>
        <v>2900.96642434637</v>
      </c>
      <c r="M39" s="31" t="n">
        <f aca="false">IF(L39&gt;0,J39/L39,"nie")</f>
        <v>7.55760439218144</v>
      </c>
      <c r="N39" s="38" t="n">
        <f aca="false">IF(G39&gt;0,J39/G39,0)</f>
        <v>614.655376144826</v>
      </c>
    </row>
    <row r="40" customFormat="false" ht="15" hidden="false" customHeight="false" outlineLevel="0" collapsed="false">
      <c r="A40" s="23" t="n">
        <f aca="false">Anlagen!A40</f>
        <v>36</v>
      </c>
      <c r="B40" s="23" t="str">
        <f aca="false">Anlagen!B40</f>
        <v>Friedland</v>
      </c>
      <c r="C40" s="23" t="str">
        <f aca="false">Anlagen!D40</f>
        <v>A – Stabil</v>
      </c>
      <c r="D40" s="23" t="str">
        <f aca="false">Netz!N40</f>
        <v>Eigener Fleiß: GW 6–7</v>
      </c>
      <c r="E40" s="23" t="n">
        <f aca="false">Anlagen!F40</f>
        <v>64</v>
      </c>
      <c r="F40" s="30" t="n">
        <f aca="false">Buchungsquote!T40</f>
        <v>0.575702627388535</v>
      </c>
      <c r="G40" s="31" t="n">
        <f aca="false">Buchungsquote!V40</f>
        <v>36.8449681528662</v>
      </c>
      <c r="H40" s="38" t="n">
        <f aca="false">G40*Preis_Jahr</f>
        <v>4421.39617834395</v>
      </c>
      <c r="I40" s="30" t="n">
        <f aca="false">IFERROR(E40/INDEX(Standorte!$D$5:$D$92,MATCH(Netz!C40,Anlagen!$A$5:$A$92,0)),0)</f>
        <v>0.117216117216117</v>
      </c>
      <c r="J40" s="38" t="n">
        <f aca="false">Investition!N40+I40*IFERROR(INDEX(Standorte!$N$5:$N$92,MATCH(Netz!C40,Anlagen!$A$5:$A$92,0)),0)</f>
        <v>22958.617870822</v>
      </c>
      <c r="K40" s="38" t="n">
        <f aca="false">Investition!O40+I40*IFERROR(INDEX(Standorte!$O$5:$O$92,MATCH(Netz!C40,Anlagen!$A$5:$A$92,0)),0)+H40*Zahlung</f>
        <v>1416.00811378267</v>
      </c>
      <c r="L40" s="38" t="n">
        <f aca="false">H40-K40</f>
        <v>3005.38806456128</v>
      </c>
      <c r="M40" s="31" t="n">
        <f aca="false">IF(L40&gt;0,J40/L40,"nie")</f>
        <v>7.63915254124544</v>
      </c>
      <c r="N40" s="38" t="n">
        <f aca="false">IF(G40&gt;0,J40/G40,0)</f>
        <v>623.114064736571</v>
      </c>
    </row>
    <row r="41" customFormat="false" ht="15" hidden="false" customHeight="false" outlineLevel="0" collapsed="false">
      <c r="A41" s="23" t="n">
        <f aca="false">Anlagen!A41</f>
        <v>37</v>
      </c>
      <c r="B41" s="23" t="str">
        <f aca="false">Anlagen!B41</f>
        <v>Frisch Auf</v>
      </c>
      <c r="C41" s="23" t="str">
        <f aca="false">Anlagen!D41</f>
        <v>B – Beobachtung</v>
      </c>
      <c r="D41" s="23" t="str">
        <f aca="false">Netz!N41</f>
        <v>Kammgarn: GW 1–2</v>
      </c>
      <c r="E41" s="23" t="n">
        <f aca="false">Anlagen!F41</f>
        <v>19</v>
      </c>
      <c r="F41" s="30" t="n">
        <f aca="false">Buchungsquote!T41</f>
        <v>0.538195488721805</v>
      </c>
      <c r="G41" s="31" t="n">
        <f aca="false">Buchungsquote!V41</f>
        <v>10.2257142857143</v>
      </c>
      <c r="H41" s="38" t="n">
        <f aca="false">G41*Preis_Jahr</f>
        <v>1227.08571428571</v>
      </c>
      <c r="I41" s="30" t="n">
        <f aca="false">IFERROR(E41/INDEX(Standorte!$D$5:$D$92,MATCH(Netz!C41,Anlagen!$A$5:$A$92,0)),0)</f>
        <v>0.204301075268817</v>
      </c>
      <c r="J41" s="38" t="n">
        <f aca="false">Investition!N41+I41*IFERROR(INDEX(Standorte!$N$5:$N$92,MATCH(Netz!C41,Anlagen!$A$5:$A$92,0)),0)</f>
        <v>9994.11385451974</v>
      </c>
      <c r="K41" s="38" t="n">
        <f aca="false">Investition!O41+I41*IFERROR(INDEX(Standorte!$O$5:$O$92,MATCH(Netz!C41,Anlagen!$A$5:$A$92,0)),0)+H41*Zahlung</f>
        <v>706.047815021153</v>
      </c>
      <c r="L41" s="38" t="n">
        <f aca="false">H41-K41</f>
        <v>521.037899264562</v>
      </c>
      <c r="M41" s="31" t="n">
        <f aca="false">IF(L41&gt;0,J41/L41,"nie")</f>
        <v>19.1811648799949</v>
      </c>
      <c r="N41" s="38" t="n">
        <f aca="false">IF(G41&gt;0,J41/G41,0)</f>
        <v>977.351173255633</v>
      </c>
    </row>
    <row r="42" customFormat="false" ht="15" hidden="false" customHeight="false" outlineLevel="0" collapsed="false">
      <c r="A42" s="23" t="n">
        <f aca="false">Anlagen!A42</f>
        <v>38</v>
      </c>
      <c r="B42" s="23" t="str">
        <f aca="false">Anlagen!B42</f>
        <v>Frohsinn</v>
      </c>
      <c r="C42" s="23" t="str">
        <f aca="false">Anlagen!D42</f>
        <v>C – Qualifizierung</v>
      </c>
      <c r="D42" s="23" t="str">
        <f aca="false">Netz!N42</f>
        <v>Birkenwäldchen: GW 4–5</v>
      </c>
      <c r="E42" s="23" t="n">
        <f aca="false">Anlagen!F42</f>
        <v>54</v>
      </c>
      <c r="F42" s="30" t="n">
        <f aca="false">Buchungsquote!T42</f>
        <v>0.516496428571429</v>
      </c>
      <c r="G42" s="31" t="n">
        <f aca="false">Buchungsquote!V42</f>
        <v>27.8908071428571</v>
      </c>
      <c r="H42" s="38" t="n">
        <f aca="false">G42*Preis_Jahr</f>
        <v>3346.89685714286</v>
      </c>
      <c r="I42" s="30" t="n">
        <f aca="false">IFERROR(E42/INDEX(Standorte!$D$5:$D$92,MATCH(Netz!C42,Anlagen!$A$5:$A$92,0)),0)</f>
        <v>0.0994475138121547</v>
      </c>
      <c r="J42" s="38" t="n">
        <f aca="false">Investition!N42+I42*IFERROR(INDEX(Standorte!$N$5:$N$92,MATCH(Netz!C42,Anlagen!$A$5:$A$92,0)),0)</f>
        <v>19465.2037463651</v>
      </c>
      <c r="K42" s="38" t="n">
        <f aca="false">Investition!O42+I42*IFERROR(INDEX(Standorte!$O$5:$O$92,MATCH(Netz!C42,Anlagen!$A$5:$A$92,0)),0)+H42*Zahlung</f>
        <v>1174.43263136491</v>
      </c>
      <c r="L42" s="38" t="n">
        <f aca="false">H42-K42</f>
        <v>2172.46422577795</v>
      </c>
      <c r="M42" s="31" t="n">
        <f aca="false">IF(L42&gt;0,J42/L42,"nie")</f>
        <v>8.95996514713363</v>
      </c>
      <c r="N42" s="38" t="n">
        <f aca="false">IF(G42&gt;0,J42/G42,0)</f>
        <v>697.907509333237</v>
      </c>
    </row>
    <row r="43" customFormat="false" ht="15" hidden="false" customHeight="false" outlineLevel="0" collapsed="false">
      <c r="A43" s="23" t="n">
        <f aca="false">Anlagen!A43</f>
        <v>39</v>
      </c>
      <c r="B43" s="23" t="str">
        <f aca="false">Anlagen!B43</f>
        <v>Gartenfreunde Brielower Aue</v>
      </c>
      <c r="C43" s="23" t="str">
        <f aca="false">Anlagen!D43</f>
        <v>B – Beobachtung</v>
      </c>
      <c r="D43" s="23" t="str">
        <f aca="false">Netz!N43</f>
        <v>Fohrder Landstraße: GW 9–10</v>
      </c>
      <c r="E43" s="23" t="n">
        <f aca="false">Anlagen!F43</f>
        <v>69</v>
      </c>
      <c r="F43" s="30" t="n">
        <f aca="false">Buchungsquote!T43</f>
        <v>0.606148808440968</v>
      </c>
      <c r="G43" s="31" t="n">
        <f aca="false">Buchungsquote!V43</f>
        <v>41.8242677824268</v>
      </c>
      <c r="H43" s="38" t="n">
        <f aca="false">G43*Preis_Jahr</f>
        <v>5018.91213389121</v>
      </c>
      <c r="I43" s="30" t="n">
        <f aca="false">IFERROR(E43/INDEX(Standorte!$D$5:$D$92,MATCH(Netz!C43,Anlagen!$A$5:$A$92,0)),0)</f>
        <v>0.134241245136187</v>
      </c>
      <c r="J43" s="38" t="n">
        <f aca="false">Investition!N43+I43*IFERROR(INDEX(Standorte!$N$5:$N$92,MATCH(Netz!C43,Anlagen!$A$5:$A$92,0)),0)</f>
        <v>25498.1549968777</v>
      </c>
      <c r="K43" s="38" t="n">
        <f aca="false">Investition!O43+I43*IFERROR(INDEX(Standorte!$O$5:$O$92,MATCH(Netz!C43,Anlagen!$A$5:$A$92,0)),0)+H43*Zahlung</f>
        <v>1553.27329796976</v>
      </c>
      <c r="L43" s="38" t="n">
        <f aca="false">H43-K43</f>
        <v>3465.63883592145</v>
      </c>
      <c r="M43" s="31" t="n">
        <f aca="false">IF(L43&gt;0,J43/L43,"nie")</f>
        <v>7.35741841665338</v>
      </c>
      <c r="N43" s="38" t="n">
        <f aca="false">IF(G43&gt;0,J43/G43,0)</f>
        <v>609.649764331109</v>
      </c>
    </row>
    <row r="44" customFormat="false" ht="15" hidden="false" customHeight="false" outlineLevel="0" collapsed="false">
      <c r="A44" s="23" t="n">
        <f aca="false">Anlagen!A44</f>
        <v>40</v>
      </c>
      <c r="B44" s="23" t="str">
        <f aca="false">Anlagen!B44</f>
        <v>Glück Auf</v>
      </c>
      <c r="C44" s="23" t="str">
        <f aca="false">Anlagen!D44</f>
        <v>B – Beobachtung</v>
      </c>
      <c r="D44" s="23" t="str">
        <f aca="false">Netz!N44</f>
        <v>Sommerfreude II: GW 4–5</v>
      </c>
      <c r="E44" s="23" t="n">
        <f aca="false">Anlagen!F44</f>
        <v>34</v>
      </c>
      <c r="F44" s="30" t="n">
        <f aca="false">Buchungsquote!T44</f>
        <v>0.56894541600424</v>
      </c>
      <c r="G44" s="31" t="n">
        <f aca="false">Buchungsquote!V44</f>
        <v>19.3441441441441</v>
      </c>
      <c r="H44" s="38" t="n">
        <f aca="false">G44*Preis_Jahr</f>
        <v>2321.2972972973</v>
      </c>
      <c r="I44" s="30" t="n">
        <f aca="false">IFERROR(E44/INDEX(Standorte!$D$5:$D$92,MATCH(Netz!C44,Anlagen!$A$5:$A$92,0)),0)</f>
        <v>0.09366391184573</v>
      </c>
      <c r="J44" s="38" t="n">
        <f aca="false">Investition!N44+I44*IFERROR(INDEX(Standorte!$N$5:$N$92,MATCH(Netz!C44,Anlagen!$A$5:$A$92,0)),0)</f>
        <v>13995.9905269025</v>
      </c>
      <c r="K44" s="38" t="n">
        <f aca="false">Investition!O44+I44*IFERROR(INDEX(Standorte!$O$5:$O$92,MATCH(Netz!C44,Anlagen!$A$5:$A$92,0)),0)+H44*Zahlung</f>
        <v>796.754998362357</v>
      </c>
      <c r="L44" s="38" t="n">
        <f aca="false">H44-K44</f>
        <v>1524.54229893494</v>
      </c>
      <c r="M44" s="31" t="n">
        <f aca="false">IF(L44&gt;0,J44/L44,"nie")</f>
        <v>9.180454052787</v>
      </c>
      <c r="N44" s="38" t="n">
        <f aca="false">IF(G44&gt;0,J44/G44,0)</f>
        <v>723.525963341177</v>
      </c>
    </row>
    <row r="45" customFormat="false" ht="15" hidden="false" customHeight="false" outlineLevel="0" collapsed="false">
      <c r="A45" s="23" t="n">
        <f aca="false">Anlagen!A45</f>
        <v>41</v>
      </c>
      <c r="B45" s="23" t="str">
        <f aca="false">Anlagen!B45</f>
        <v>Glück im Winkel</v>
      </c>
      <c r="C45" s="23" t="str">
        <f aca="false">Anlagen!D45</f>
        <v>B – Beobachtung</v>
      </c>
      <c r="D45" s="23" t="str">
        <f aca="false">Netz!N45</f>
        <v>Glück im Winkel: GW 1–3</v>
      </c>
      <c r="E45" s="23" t="n">
        <f aca="false">Anlagen!F45</f>
        <v>139</v>
      </c>
      <c r="F45" s="30" t="n">
        <f aca="false">Buchungsquote!T45</f>
        <v>0.582194690897406</v>
      </c>
      <c r="G45" s="31" t="n">
        <f aca="false">Buchungsquote!V45</f>
        <v>80.9250620347395</v>
      </c>
      <c r="H45" s="38" t="n">
        <f aca="false">G45*Preis_Jahr</f>
        <v>9711.00744416873</v>
      </c>
      <c r="I45" s="30" t="n">
        <f aca="false">IFERROR(E45/INDEX(Standorte!$D$5:$D$92,MATCH(Netz!C45,Anlagen!$A$5:$A$92,0)),0)</f>
        <v>0.257407407407407</v>
      </c>
      <c r="J45" s="38" t="n">
        <f aca="false">Investition!N45+I45*IFERROR(INDEX(Standorte!$N$5:$N$92,MATCH(Netz!C45,Anlagen!$A$5:$A$92,0)),0)</f>
        <v>40009.2611126986</v>
      </c>
      <c r="K45" s="38" t="n">
        <f aca="false">Investition!O45+I45*IFERROR(INDEX(Standorte!$O$5:$O$92,MATCH(Netz!C45,Anlagen!$A$5:$A$92,0)),0)+H45*Zahlung</f>
        <v>2679.55861226158</v>
      </c>
      <c r="L45" s="38" t="n">
        <f aca="false">H45-K45</f>
        <v>7031.44883190716</v>
      </c>
      <c r="M45" s="31" t="n">
        <f aca="false">IF(L45&gt;0,J45/L45,"nie")</f>
        <v>5.69004512002497</v>
      </c>
      <c r="N45" s="38" t="n">
        <f aca="false">IF(G45&gt;0,J45/G45,0)</f>
        <v>494.398893330764</v>
      </c>
    </row>
    <row r="46" customFormat="false" ht="15" hidden="false" customHeight="false" outlineLevel="0" collapsed="false">
      <c r="A46" s="23" t="n">
        <f aca="false">Anlagen!A46</f>
        <v>42</v>
      </c>
      <c r="B46" s="23" t="str">
        <f aca="false">Anlagen!B46</f>
        <v>Grüne Ecke</v>
      </c>
      <c r="C46" s="23" t="str">
        <f aca="false">Anlagen!D46</f>
        <v>A – Stabil</v>
      </c>
      <c r="D46" s="23" t="str">
        <f aca="false">Netz!N46</f>
        <v>Birkenwäldchen: GW 5–6</v>
      </c>
      <c r="E46" s="23" t="n">
        <f aca="false">Anlagen!F46</f>
        <v>50</v>
      </c>
      <c r="F46" s="30" t="n">
        <f aca="false">Buchungsquote!T46</f>
        <v>0.571642857142857</v>
      </c>
      <c r="G46" s="31" t="n">
        <f aca="false">Buchungsquote!V46</f>
        <v>28.5821428571429</v>
      </c>
      <c r="H46" s="38" t="n">
        <f aca="false">G46*Preis_Jahr</f>
        <v>3429.85714285714</v>
      </c>
      <c r="I46" s="30" t="n">
        <f aca="false">IFERROR(E46/INDEX(Standorte!$D$5:$D$92,MATCH(Netz!C46,Anlagen!$A$5:$A$92,0)),0)</f>
        <v>0.0920810313075507</v>
      </c>
      <c r="J46" s="38" t="n">
        <f aca="false">Investition!N46+I46*IFERROR(INDEX(Standorte!$N$5:$N$92,MATCH(Netz!C46,Anlagen!$A$5:$A$92,0)),0)</f>
        <v>18061.1858415669</v>
      </c>
      <c r="K46" s="38" t="n">
        <f aca="false">Investition!O46+I46*IFERROR(INDEX(Standorte!$O$5:$O$92,MATCH(Netz!C46,Anlagen!$A$5:$A$92,0)),0)+H46*Zahlung</f>
        <v>1116.12907958797</v>
      </c>
      <c r="L46" s="38" t="n">
        <f aca="false">H46-K46</f>
        <v>2313.72806326917</v>
      </c>
      <c r="M46" s="31" t="n">
        <f aca="false">IF(L46&gt;0,J46/L46,"nie")</f>
        <v>7.80609706399439</v>
      </c>
      <c r="N46" s="38" t="n">
        <f aca="false">IF(G46&gt;0,J46/G46,0)</f>
        <v>631.904540252247</v>
      </c>
    </row>
    <row r="47" customFormat="false" ht="15" hidden="false" customHeight="false" outlineLevel="0" collapsed="false">
      <c r="A47" s="23" t="n">
        <f aca="false">Anlagen!A47</f>
        <v>43</v>
      </c>
      <c r="B47" s="23" t="str">
        <f aca="false">Anlagen!B47</f>
        <v>Grüner Kranz</v>
      </c>
      <c r="C47" s="23" t="str">
        <f aca="false">Anlagen!D47</f>
        <v>A – Stabil</v>
      </c>
      <c r="D47" s="23" t="str">
        <f aca="false">Netz!N47</f>
        <v>Helgoland: GW 5–6</v>
      </c>
      <c r="E47" s="23" t="n">
        <f aca="false">Anlagen!F47</f>
        <v>70</v>
      </c>
      <c r="F47" s="30" t="n">
        <f aca="false">Buchungsquote!T47</f>
        <v>0.609522531160115</v>
      </c>
      <c r="G47" s="31" t="n">
        <f aca="false">Buchungsquote!V47</f>
        <v>42.6665771812081</v>
      </c>
      <c r="H47" s="38" t="n">
        <f aca="false">G47*Preis_Jahr</f>
        <v>5119.98926174497</v>
      </c>
      <c r="I47" s="30" t="n">
        <f aca="false">IFERROR(E47/INDEX(Standorte!$D$5:$D$92,MATCH(Netz!C47,Anlagen!$A$5:$A$92,0)),0)</f>
        <v>0.127504553734062</v>
      </c>
      <c r="J47" s="38" t="n">
        <f aca="false">Investition!N47+I47*IFERROR(INDEX(Standorte!$N$5:$N$92,MATCH(Netz!C47,Anlagen!$A$5:$A$92,0)),0)</f>
        <v>23664.9605748014</v>
      </c>
      <c r="K47" s="38" t="n">
        <f aca="false">Investition!O47+I47*IFERROR(INDEX(Standorte!$O$5:$O$92,MATCH(Netz!C47,Anlagen!$A$5:$A$92,0)),0)+H47*Zahlung</f>
        <v>1484.23428744612</v>
      </c>
      <c r="L47" s="38" t="n">
        <f aca="false">H47-K47</f>
        <v>3635.75497429885</v>
      </c>
      <c r="M47" s="31" t="n">
        <f aca="false">IF(L47&gt;0,J47/L47,"nie")</f>
        <v>6.50895364019002</v>
      </c>
      <c r="N47" s="38" t="n">
        <f aca="false">IF(G47&gt;0,J47/G47,0)</f>
        <v>554.64867674514</v>
      </c>
    </row>
    <row r="48" customFormat="false" ht="15" hidden="false" customHeight="false" outlineLevel="0" collapsed="false">
      <c r="A48" s="23" t="n">
        <f aca="false">Anlagen!A48</f>
        <v>44</v>
      </c>
      <c r="B48" s="23" t="str">
        <f aca="false">Anlagen!B48</f>
        <v>Grünes Heim</v>
      </c>
      <c r="C48" s="23" t="str">
        <f aca="false">Anlagen!D48</f>
        <v>B – Beobachtung</v>
      </c>
      <c r="D48" s="23" t="str">
        <f aca="false">Netz!N48</f>
        <v>Kammgarn: GW 2</v>
      </c>
      <c r="E48" s="23" t="n">
        <f aca="false">Anlagen!F48</f>
        <v>23</v>
      </c>
      <c r="F48" s="30" t="n">
        <f aca="false">Buchungsquote!T48</f>
        <v>0.646438048581343</v>
      </c>
      <c r="G48" s="31" t="n">
        <f aca="false">Buchungsquote!V48</f>
        <v>14.8680751173709</v>
      </c>
      <c r="H48" s="38" t="n">
        <f aca="false">G48*Preis_Jahr</f>
        <v>1784.16901408451</v>
      </c>
      <c r="I48" s="30" t="n">
        <f aca="false">IFERROR(E48/INDEX(Standorte!$D$5:$D$92,MATCH(Netz!C48,Anlagen!$A$5:$A$92,0)),0)</f>
        <v>0.247311827956989</v>
      </c>
      <c r="J48" s="38" t="n">
        <f aca="false">Investition!N48+I48*IFERROR(INDEX(Standorte!$N$5:$N$92,MATCH(Netz!C48,Anlagen!$A$5:$A$92,0)),0)</f>
        <v>10861.888570598</v>
      </c>
      <c r="K48" s="38" t="n">
        <f aca="false">Investition!O48+I48*IFERROR(INDEX(Standorte!$O$5:$O$92,MATCH(Netz!C48,Anlagen!$A$5:$A$92,0)),0)+H48*Zahlung</f>
        <v>801.511835067358</v>
      </c>
      <c r="L48" s="38" t="n">
        <f aca="false">H48-K48</f>
        <v>982.65717901715</v>
      </c>
      <c r="M48" s="31" t="n">
        <f aca="false">IF(L48&gt;0,J48/L48,"nie")</f>
        <v>11.0535889855932</v>
      </c>
      <c r="N48" s="38" t="n">
        <f aca="false">IF(G48&gt;0,J48/G48,0)</f>
        <v>730.551095878423</v>
      </c>
    </row>
    <row r="49" customFormat="false" ht="15" hidden="false" customHeight="false" outlineLevel="0" collapsed="false">
      <c r="A49" s="23" t="n">
        <f aca="false">Anlagen!A49</f>
        <v>45</v>
      </c>
      <c r="B49" s="23" t="str">
        <f aca="false">Anlagen!B49</f>
        <v>Gut Wetter</v>
      </c>
      <c r="C49" s="23" t="str">
        <f aca="false">Anlagen!D49</f>
        <v>A – Stabil</v>
      </c>
      <c r="D49" s="23" t="str">
        <f aca="false">Netz!N49</f>
        <v>Feierabend: GW 9</v>
      </c>
      <c r="E49" s="23" t="n">
        <f aca="false">Anlagen!F49</f>
        <v>17</v>
      </c>
      <c r="F49" s="30" t="n">
        <f aca="false">Buchungsquote!T49</f>
        <v>0.581935483870968</v>
      </c>
      <c r="G49" s="31" t="n">
        <f aca="false">Buchungsquote!V49</f>
        <v>9.89290322580645</v>
      </c>
      <c r="H49" s="38" t="n">
        <f aca="false">G49*Preis_Jahr</f>
        <v>1187.14838709677</v>
      </c>
      <c r="I49" s="30" t="n">
        <f aca="false">IFERROR(E49/INDEX(Standorte!$D$5:$D$92,MATCH(Netz!C49,Anlagen!$A$5:$A$92,0)),0)</f>
        <v>0.0311355311355311</v>
      </c>
      <c r="J49" s="38" t="n">
        <f aca="false">Investition!N49+I49*IFERROR(INDEX(Standorte!$N$5:$N$92,MATCH(Netz!C49,Anlagen!$A$5:$A$92,0)),0)</f>
        <v>9577.18104855345</v>
      </c>
      <c r="K49" s="38" t="n">
        <f aca="false">Investition!O49+I49*IFERROR(INDEX(Standorte!$O$5:$O$92,MATCH(Netz!C49,Anlagen!$A$5:$A$92,0)),0)+H49*Zahlung</f>
        <v>520.849113838738</v>
      </c>
      <c r="L49" s="38" t="n">
        <f aca="false">H49-K49</f>
        <v>666.299273258037</v>
      </c>
      <c r="M49" s="31" t="n">
        <f aca="false">IF(L49&gt;0,J49/L49,"nie")</f>
        <v>14.3736927728038</v>
      </c>
      <c r="N49" s="38" t="n">
        <f aca="false">IF(G49&gt;0,J49/G49,0)</f>
        <v>968.085993560575</v>
      </c>
    </row>
    <row r="50" customFormat="false" ht="15" hidden="false" customHeight="false" outlineLevel="0" collapsed="false">
      <c r="A50" s="23" t="n">
        <f aca="false">Anlagen!A50</f>
        <v>46</v>
      </c>
      <c r="B50" s="23" t="str">
        <f aca="false">Anlagen!B50</f>
        <v>Handwerker</v>
      </c>
      <c r="C50" s="23" t="str">
        <f aca="false">Anlagen!D50</f>
        <v>C – Qualifizierung</v>
      </c>
      <c r="D50" s="23" t="str">
        <f aca="false">Netz!N50</f>
        <v>Eigener Fleiß: GW 8</v>
      </c>
      <c r="E50" s="23" t="n">
        <f aca="false">Anlagen!F50</f>
        <v>36</v>
      </c>
      <c r="F50" s="30" t="n">
        <f aca="false">Buchungsquote!T50</f>
        <v>0.521756012024048</v>
      </c>
      <c r="G50" s="31" t="n">
        <f aca="false">Buchungsquote!V50</f>
        <v>18.7832164328657</v>
      </c>
      <c r="H50" s="38" t="n">
        <f aca="false">G50*Preis_Jahr</f>
        <v>2253.98597194389</v>
      </c>
      <c r="I50" s="30" t="n">
        <f aca="false">IFERROR(E50/INDEX(Standorte!$D$5:$D$92,MATCH(Netz!C50,Anlagen!$A$5:$A$92,0)),0)</f>
        <v>0.0659340659340659</v>
      </c>
      <c r="J50" s="38" t="n">
        <f aca="false">Investition!N50+I50*IFERROR(INDEX(Standorte!$N$5:$N$92,MATCH(Netz!C50,Anlagen!$A$5:$A$92,0)),0)</f>
        <v>13298.5114002243</v>
      </c>
      <c r="K50" s="38" t="n">
        <f aca="false">Investition!O50+I50*IFERROR(INDEX(Standorte!$O$5:$O$92,MATCH(Netz!C50,Anlagen!$A$5:$A$92,0)),0)+H50*Zahlung</f>
        <v>812.197998088123</v>
      </c>
      <c r="L50" s="38" t="n">
        <f aca="false">H50-K50</f>
        <v>1441.78797385576</v>
      </c>
      <c r="M50" s="31" t="n">
        <f aca="false">IF(L50&gt;0,J50/L50,"nie")</f>
        <v>9.22362486119246</v>
      </c>
      <c r="N50" s="38" t="n">
        <f aca="false">IF(G50&gt;0,J50/G50,0)</f>
        <v>707.999689390545</v>
      </c>
    </row>
    <row r="51" customFormat="false" ht="15" hidden="false" customHeight="false" outlineLevel="0" collapsed="false">
      <c r="A51" s="23" t="n">
        <f aca="false">Anlagen!A51</f>
        <v>47</v>
      </c>
      <c r="B51" s="23" t="str">
        <f aca="false">Anlagen!B51</f>
        <v>Harmonie</v>
      </c>
      <c r="C51" s="23" t="str">
        <f aca="false">Anlagen!D51</f>
        <v>D – Planungskonflikt</v>
      </c>
      <c r="D51" s="23" t="str">
        <f aca="false">Netz!N51</f>
        <v>Feierabend: GW 9–10</v>
      </c>
      <c r="E51" s="23" t="n">
        <f aca="false">Anlagen!F51</f>
        <v>60</v>
      </c>
      <c r="F51" s="30" t="n">
        <f aca="false">Buchungsquote!T51</f>
        <v>0.287589498806683</v>
      </c>
      <c r="G51" s="31" t="n">
        <f aca="false">Buchungsquote!V51</f>
        <v>17.255369928401</v>
      </c>
      <c r="H51" s="38" t="n">
        <f aca="false">G51*Preis_Jahr</f>
        <v>2070.64439140811</v>
      </c>
      <c r="I51" s="30" t="n">
        <f aca="false">IFERROR(E51/INDEX(Standorte!$D$5:$D$92,MATCH(Netz!C51,Anlagen!$A$5:$A$92,0)),0)</f>
        <v>0.10989010989011</v>
      </c>
      <c r="J51" s="38" t="n">
        <f aca="false">Investition!N51+I51*IFERROR(INDEX(Standorte!$N$5:$N$92,MATCH(Netz!C51,Anlagen!$A$5:$A$92,0)),0)</f>
        <v>20097.5174699428</v>
      </c>
      <c r="K51" s="38" t="n">
        <f aca="false">Investition!O51+I51*IFERROR(INDEX(Standorte!$O$5:$O$92,MATCH(Netz!C51,Anlagen!$A$5:$A$92,0)),0)+H51*Zahlung</f>
        <v>1181.58331737899</v>
      </c>
      <c r="L51" s="38" t="n">
        <f aca="false">H51-K51</f>
        <v>889.061074029124</v>
      </c>
      <c r="M51" s="31" t="n">
        <f aca="false">IF(L51&gt;0,J51/L51,"nie")</f>
        <v>22.6053283143566</v>
      </c>
      <c r="N51" s="38" t="n">
        <f aca="false">IF(G51&gt;0,J51/G51,0)</f>
        <v>1164.71090178507</v>
      </c>
    </row>
    <row r="52" customFormat="false" ht="15" hidden="false" customHeight="false" outlineLevel="0" collapsed="false">
      <c r="A52" s="23" t="n">
        <f aca="false">Anlagen!A52</f>
        <v>48</v>
      </c>
      <c r="B52" s="23" t="str">
        <f aca="false">Anlagen!B52</f>
        <v>Heidekrug</v>
      </c>
      <c r="C52" s="23" t="str">
        <f aca="false">Anlagen!D52</f>
        <v>B – Beobachtung</v>
      </c>
      <c r="D52" s="23" t="str">
        <f aca="false">Netz!N52</f>
        <v>Heidekrug: GW 1</v>
      </c>
      <c r="E52" s="23" t="n">
        <f aca="false">Anlagen!F52</f>
        <v>34</v>
      </c>
      <c r="F52" s="30" t="n">
        <f aca="false">Buchungsquote!T52</f>
        <v>0.56561135371179</v>
      </c>
      <c r="G52" s="31" t="n">
        <f aca="false">Buchungsquote!V52</f>
        <v>19.2307860262009</v>
      </c>
      <c r="H52" s="38" t="n">
        <f aca="false">G52*Preis_Jahr</f>
        <v>2307.69432314411</v>
      </c>
      <c r="I52" s="30" t="n">
        <f aca="false">IFERROR(E52/INDEX(Standorte!$D$5:$D$92,MATCH(Netz!C52,Anlagen!$A$5:$A$92,0)),0)</f>
        <v>1</v>
      </c>
      <c r="J52" s="38" t="n">
        <f aca="false">Investition!N52+I52*IFERROR(INDEX(Standorte!$N$5:$N$92,MATCH(Netz!C52,Anlagen!$A$5:$A$92,0)),0)</f>
        <v>14559.0799930579</v>
      </c>
      <c r="K52" s="38" t="n">
        <f aca="false">Investition!O52+I52*IFERROR(INDEX(Standorte!$O$5:$O$92,MATCH(Netz!C52,Anlagen!$A$5:$A$92,0)),0)+H52*Zahlung</f>
        <v>1880.45322948606</v>
      </c>
      <c r="L52" s="38" t="n">
        <f aca="false">H52-K52</f>
        <v>427.241093658044</v>
      </c>
      <c r="M52" s="31" t="n">
        <f aca="false">IF(L52&gt;0,J52/L52,"nie")</f>
        <v>34.0769654632304</v>
      </c>
      <c r="N52" s="38" t="n">
        <f aca="false">IF(G52&gt;0,J52/G52,0)</f>
        <v>757.071498441198</v>
      </c>
    </row>
    <row r="53" customFormat="false" ht="15" hidden="false" customHeight="false" outlineLevel="0" collapsed="false">
      <c r="A53" s="23" t="n">
        <f aca="false">Anlagen!A53</f>
        <v>49</v>
      </c>
      <c r="B53" s="23" t="str">
        <f aca="false">Anlagen!B53</f>
        <v>Helgoland</v>
      </c>
      <c r="C53" s="23" t="str">
        <f aca="false">Anlagen!D53</f>
        <v>A – Stabil</v>
      </c>
      <c r="D53" s="23" t="str">
        <f aca="false">Netz!N53</f>
        <v>Helgoland: GW 1–2</v>
      </c>
      <c r="E53" s="23" t="n">
        <f aca="false">Anlagen!F53</f>
        <v>110</v>
      </c>
      <c r="F53" s="30" t="n">
        <f aca="false">Buchungsquote!T53</f>
        <v>0.601718130067276</v>
      </c>
      <c r="G53" s="31" t="n">
        <f aca="false">Buchungsquote!V53</f>
        <v>66.1889943074004</v>
      </c>
      <c r="H53" s="38" t="n">
        <f aca="false">G53*Preis_Jahr</f>
        <v>7942.67931688805</v>
      </c>
      <c r="I53" s="30" t="n">
        <f aca="false">IFERROR(E53/INDEX(Standorte!$D$5:$D$92,MATCH(Netz!C53,Anlagen!$A$5:$A$92,0)),0)</f>
        <v>0.200364298724954</v>
      </c>
      <c r="J53" s="38" t="n">
        <f aca="false">Investition!N53+I53*IFERROR(INDEX(Standorte!$N$5:$N$92,MATCH(Netz!C53,Anlagen!$A$5:$A$92,0)),0)</f>
        <v>32818.6015277392</v>
      </c>
      <c r="K53" s="38" t="n">
        <f aca="false">Investition!O53+I53*IFERROR(INDEX(Standorte!$O$5:$O$92,MATCH(Netz!C53,Anlagen!$A$5:$A$92,0)),0)+H53*Zahlung</f>
        <v>2206.70181331696</v>
      </c>
      <c r="L53" s="38" t="n">
        <f aca="false">H53-K53</f>
        <v>5735.97750357109</v>
      </c>
      <c r="M53" s="31" t="n">
        <f aca="false">IF(L53&gt;0,J53/L53,"nie")</f>
        <v>5.72153595569493</v>
      </c>
      <c r="N53" s="38" t="n">
        <f aca="false">IF(G53&gt;0,J53/G53,0)</f>
        <v>495.831699380721</v>
      </c>
    </row>
    <row r="54" customFormat="false" ht="15" hidden="false" customHeight="false" outlineLevel="0" collapsed="false">
      <c r="A54" s="23" t="n">
        <f aca="false">Anlagen!A54</f>
        <v>50</v>
      </c>
      <c r="B54" s="23" t="str">
        <f aca="false">Anlagen!B54</f>
        <v>Hoffnung</v>
      </c>
      <c r="C54" s="23" t="str">
        <f aca="false">Anlagen!D54</f>
        <v>B – Beobachtung</v>
      </c>
      <c r="D54" s="23" t="str">
        <f aca="false">Netz!N54</f>
        <v>Helgoland: GW 6</v>
      </c>
      <c r="E54" s="23" t="n">
        <f aca="false">Anlagen!F54</f>
        <v>7</v>
      </c>
      <c r="F54" s="30" t="n">
        <f aca="false">Buchungsquote!T54</f>
        <v>0.533497536945813</v>
      </c>
      <c r="G54" s="31" t="n">
        <f aca="false">Buchungsquote!V54</f>
        <v>3.73448275862069</v>
      </c>
      <c r="H54" s="38" t="n">
        <f aca="false">G54*Preis_Jahr</f>
        <v>448.137931034483</v>
      </c>
      <c r="I54" s="30" t="n">
        <f aca="false">IFERROR(E54/INDEX(Standorte!$D$5:$D$92,MATCH(Netz!C54,Anlagen!$A$5:$A$92,0)),0)</f>
        <v>0.0127504553734062</v>
      </c>
      <c r="J54" s="38" t="n">
        <f aca="false">Investition!N54+I54*IFERROR(INDEX(Standorte!$N$5:$N$92,MATCH(Netz!C54,Anlagen!$A$5:$A$92,0)),0)</f>
        <v>4933.10035643566</v>
      </c>
      <c r="K54" s="38" t="n">
        <f aca="false">Investition!O54+I54*IFERROR(INDEX(Standorte!$O$5:$O$92,MATCH(Netz!C54,Anlagen!$A$5:$A$92,0)),0)+H54*Zahlung</f>
        <v>253.255727859077</v>
      </c>
      <c r="L54" s="38" t="n">
        <f aca="false">H54-K54</f>
        <v>194.882203175406</v>
      </c>
      <c r="M54" s="31" t="n">
        <f aca="false">IF(L54&gt;0,J54/L54,"nie")</f>
        <v>25.3132419279742</v>
      </c>
      <c r="N54" s="38" t="n">
        <f aca="false">IF(G54&gt;0,J54/G54,0)</f>
        <v>1320.95946755895</v>
      </c>
    </row>
    <row r="55" customFormat="false" ht="15" hidden="false" customHeight="false" outlineLevel="0" collapsed="false">
      <c r="A55" s="23" t="n">
        <f aca="false">Anlagen!A55</f>
        <v>51</v>
      </c>
      <c r="B55" s="23" t="str">
        <f aca="false">Anlagen!B55</f>
        <v>Holland</v>
      </c>
      <c r="C55" s="23" t="str">
        <f aca="false">Anlagen!D55</f>
        <v>B – Beobachtung</v>
      </c>
      <c r="D55" s="23" t="str">
        <f aca="false">Netz!N55</f>
        <v>Kammgarn: GW 2</v>
      </c>
      <c r="E55" s="23" t="n">
        <f aca="false">Anlagen!F55</f>
        <v>9</v>
      </c>
      <c r="F55" s="30" t="n">
        <f aca="false">Buchungsquote!T55</f>
        <v>0.62020202020202</v>
      </c>
      <c r="G55" s="31" t="n">
        <f aca="false">Buchungsquote!V55</f>
        <v>5.58181818181818</v>
      </c>
      <c r="H55" s="38" t="n">
        <f aca="false">G55*Preis_Jahr</f>
        <v>669.818181818182</v>
      </c>
      <c r="I55" s="30" t="n">
        <f aca="false">IFERROR(E55/INDEX(Standorte!$D$5:$D$92,MATCH(Netz!C55,Anlagen!$A$5:$A$92,0)),0)</f>
        <v>0.0967741935483871</v>
      </c>
      <c r="J55" s="38" t="n">
        <f aca="false">Investition!N55+I55*IFERROR(INDEX(Standorte!$N$5:$N$92,MATCH(Netz!C55,Anlagen!$A$5:$A$92,0)),0)</f>
        <v>6209.80422778457</v>
      </c>
      <c r="K55" s="38" t="n">
        <f aca="false">Investition!O55+I55*IFERROR(INDEX(Standorte!$O$5:$O$92,MATCH(Netz!C55,Anlagen!$A$5:$A$92,0)),0)+H55*Zahlung</f>
        <v>384.504801320341</v>
      </c>
      <c r="L55" s="38" t="n">
        <f aca="false">H55-K55</f>
        <v>285.313380497841</v>
      </c>
      <c r="M55" s="31" t="n">
        <f aca="false">IF(L55&gt;0,J55/L55,"nie")</f>
        <v>21.7648545502813</v>
      </c>
      <c r="N55" s="38" t="n">
        <f aca="false">IF(G55&gt;0,J55/G55,0)</f>
        <v>1112.50564341417</v>
      </c>
    </row>
    <row r="56" customFormat="false" ht="15" hidden="false" customHeight="false" outlineLevel="0" collapsed="false">
      <c r="A56" s="23" t="n">
        <f aca="false">Anlagen!A56</f>
        <v>52</v>
      </c>
      <c r="B56" s="23" t="str">
        <f aca="false">Anlagen!B56</f>
        <v>Im Mittelbruch I</v>
      </c>
      <c r="C56" s="23" t="str">
        <f aca="false">Anlagen!D56</f>
        <v>C – Qualifizierung</v>
      </c>
      <c r="D56" s="23" t="str">
        <f aca="false">Netz!N56</f>
        <v>Zukunft: GW 2–3</v>
      </c>
      <c r="E56" s="23" t="n">
        <f aca="false">Anlagen!F56</f>
        <v>33</v>
      </c>
      <c r="F56" s="30" t="n">
        <f aca="false">Buchungsquote!T56</f>
        <v>0.519039735099338</v>
      </c>
      <c r="G56" s="31" t="n">
        <f aca="false">Buchungsquote!V56</f>
        <v>17.1283112582781</v>
      </c>
      <c r="H56" s="38" t="n">
        <f aca="false">G56*Preis_Jahr</f>
        <v>2055.39735099338</v>
      </c>
      <c r="I56" s="30" t="n">
        <f aca="false">IFERROR(E56/INDEX(Standorte!$D$5:$D$92,MATCH(Netz!C56,Anlagen!$A$5:$A$92,0)),0)</f>
        <v>0.120879120879121</v>
      </c>
      <c r="J56" s="38" t="n">
        <f aca="false">Investition!N56+I56*IFERROR(INDEX(Standorte!$N$5:$N$92,MATCH(Netz!C56,Anlagen!$A$5:$A$92,0)),0)</f>
        <v>14547.5694428027</v>
      </c>
      <c r="K56" s="38" t="n">
        <f aca="false">Investition!O56+I56*IFERROR(INDEX(Standorte!$O$5:$O$92,MATCH(Netz!C56,Anlagen!$A$5:$A$92,0)),0)+H56*Zahlung</f>
        <v>835.539003813881</v>
      </c>
      <c r="L56" s="38" t="n">
        <f aca="false">H56-K56</f>
        <v>1219.8583471795</v>
      </c>
      <c r="M56" s="31" t="n">
        <f aca="false">IF(L56&gt;0,J56/L56,"nie")</f>
        <v>11.9256219186752</v>
      </c>
      <c r="N56" s="38" t="n">
        <f aca="false">IF(G56&gt;0,J56/G56,0)</f>
        <v>849.328881489808</v>
      </c>
    </row>
    <row r="57" customFormat="false" ht="15" hidden="false" customHeight="false" outlineLevel="0" collapsed="false">
      <c r="A57" s="23" t="n">
        <f aca="false">Anlagen!A57</f>
        <v>53</v>
      </c>
      <c r="B57" s="23" t="str">
        <f aca="false">Anlagen!B57</f>
        <v>Im Mittelbruch II</v>
      </c>
      <c r="C57" s="23" t="str">
        <f aca="false">Anlagen!D57</f>
        <v>C – Qualifizierung</v>
      </c>
      <c r="D57" s="23" t="str">
        <f aca="false">Netz!N57</f>
        <v>Zukunft: GW 3</v>
      </c>
      <c r="E57" s="23" t="n">
        <f aca="false">Anlagen!F57</f>
        <v>47</v>
      </c>
      <c r="F57" s="30" t="n">
        <f aca="false">Buchungsquote!T57</f>
        <v>0.487938829787234</v>
      </c>
      <c r="G57" s="31" t="n">
        <f aca="false">Buchungsquote!V57</f>
        <v>22.933125</v>
      </c>
      <c r="H57" s="38" t="n">
        <f aca="false">G57*Preis_Jahr</f>
        <v>2751.975</v>
      </c>
      <c r="I57" s="30" t="n">
        <f aca="false">IFERROR(E57/INDEX(Standorte!$D$5:$D$92,MATCH(Netz!C57,Anlagen!$A$5:$A$92,0)),0)</f>
        <v>0.172161172161172</v>
      </c>
      <c r="J57" s="38" t="n">
        <f aca="false">Investition!N57+I57*IFERROR(INDEX(Standorte!$N$5:$N$92,MATCH(Netz!C57,Anlagen!$A$5:$A$92,0)),0)</f>
        <v>18435.012977793</v>
      </c>
      <c r="K57" s="38" t="n">
        <f aca="false">Investition!O57+I57*IFERROR(INDEX(Standorte!$O$5:$O$92,MATCH(Netz!C57,Anlagen!$A$5:$A$92,0)),0)+H57*Zahlung</f>
        <v>1099.99297266712</v>
      </c>
      <c r="L57" s="38" t="n">
        <f aca="false">H57-K57</f>
        <v>1651.98202733288</v>
      </c>
      <c r="M57" s="31" t="n">
        <f aca="false">IF(L57&gt;0,J57/L57,"nie")</f>
        <v>11.1593302304604</v>
      </c>
      <c r="N57" s="38" t="n">
        <f aca="false">IF(G57&gt;0,J57/G57,0)</f>
        <v>803.859612581932</v>
      </c>
    </row>
    <row r="58" customFormat="false" ht="15" hidden="false" customHeight="false" outlineLevel="0" collapsed="false">
      <c r="A58" s="23" t="n">
        <f aca="false">Anlagen!A58</f>
        <v>54</v>
      </c>
      <c r="B58" s="23" t="str">
        <f aca="false">Anlagen!B58</f>
        <v>Immergrün</v>
      </c>
      <c r="C58" s="23" t="str">
        <f aca="false">Anlagen!D58</f>
        <v>A – Stabil</v>
      </c>
      <c r="D58" s="23" t="str">
        <f aca="false">Netz!N58</f>
        <v>Erdenglück: GW 4–5</v>
      </c>
      <c r="E58" s="23" t="n">
        <f aca="false">Anlagen!F58</f>
        <v>57</v>
      </c>
      <c r="F58" s="30" t="n">
        <f aca="false">Buchungsquote!T58</f>
        <v>0.609051094890511</v>
      </c>
      <c r="G58" s="31" t="n">
        <f aca="false">Buchungsquote!V58</f>
        <v>34.7159124087591</v>
      </c>
      <c r="H58" s="38" t="n">
        <f aca="false">G58*Preis_Jahr</f>
        <v>4165.9094890511</v>
      </c>
      <c r="I58" s="30" t="n">
        <f aca="false">IFERROR(E58/INDEX(Standorte!$D$5:$D$92,MATCH(Netz!C58,Anlagen!$A$5:$A$92,0)),0)</f>
        <v>0.120507399577167</v>
      </c>
      <c r="J58" s="38" t="n">
        <f aca="false">Investition!N58+I58*IFERROR(INDEX(Standorte!$N$5:$N$92,MATCH(Netz!C58,Anlagen!$A$5:$A$92,0)),0)</f>
        <v>21222.6896997945</v>
      </c>
      <c r="K58" s="38" t="n">
        <f aca="false">Investition!O58+I58*IFERROR(INDEX(Standorte!$O$5:$O$92,MATCH(Netz!C58,Anlagen!$A$5:$A$92,0)),0)+H58*Zahlung</f>
        <v>1301.52298623619</v>
      </c>
      <c r="L58" s="38" t="n">
        <f aca="false">H58-K58</f>
        <v>2864.3865028149</v>
      </c>
      <c r="M58" s="31" t="n">
        <f aca="false">IF(L58&gt;0,J58/L58,"nie")</f>
        <v>7.40915713676851</v>
      </c>
      <c r="N58" s="38" t="n">
        <f aca="false">IF(G58&gt;0,J58/G58,0)</f>
        <v>611.324554858589</v>
      </c>
    </row>
    <row r="59" customFormat="false" ht="15" hidden="false" customHeight="false" outlineLevel="0" collapsed="false">
      <c r="A59" s="23" t="n">
        <f aca="false">Anlagen!A59</f>
        <v>55</v>
      </c>
      <c r="B59" s="23" t="str">
        <f aca="false">Anlagen!B59</f>
        <v>Jakobswerder</v>
      </c>
      <c r="C59" s="23" t="str">
        <f aca="false">Anlagen!D59</f>
        <v>B – Beobachtung</v>
      </c>
      <c r="D59" s="23" t="str">
        <f aca="false">Netz!N59</f>
        <v>Eigener Fleiß: GW 8–9</v>
      </c>
      <c r="E59" s="23" t="n">
        <f aca="false">Anlagen!F59</f>
        <v>49</v>
      </c>
      <c r="F59" s="30" t="n">
        <f aca="false">Buchungsquote!T59</f>
        <v>0.596099155164621</v>
      </c>
      <c r="G59" s="31" t="n">
        <f aca="false">Buchungsquote!V59</f>
        <v>29.2088586030664</v>
      </c>
      <c r="H59" s="38" t="n">
        <f aca="false">G59*Preis_Jahr</f>
        <v>3505.06303236797</v>
      </c>
      <c r="I59" s="30" t="n">
        <f aca="false">IFERROR(E59/INDEX(Standorte!$D$5:$D$92,MATCH(Netz!C59,Anlagen!$A$5:$A$92,0)),0)</f>
        <v>0.0897435897435897</v>
      </c>
      <c r="J59" s="38" t="n">
        <f aca="false">Investition!N59+I59*IFERROR(INDEX(Standorte!$N$5:$N$92,MATCH(Netz!C59,Anlagen!$A$5:$A$92,0)),0)</f>
        <v>19520.6883468141</v>
      </c>
      <c r="K59" s="38" t="n">
        <f aca="false">Investition!O59+I59*IFERROR(INDEX(Standorte!$O$5:$O$92,MATCH(Netz!C59,Anlagen!$A$5:$A$92,0)),0)+H59*Zahlung</f>
        <v>1156.24561829854</v>
      </c>
      <c r="L59" s="38" t="n">
        <f aca="false">H59-K59</f>
        <v>2348.81741406943</v>
      </c>
      <c r="M59" s="31" t="n">
        <f aca="false">IF(L59&gt;0,J59/L59,"nie")</f>
        <v>8.31085814924779</v>
      </c>
      <c r="N59" s="38" t="n">
        <f aca="false">IF(G59&gt;0,J59/G59,0)</f>
        <v>668.313973239773</v>
      </c>
    </row>
    <row r="60" customFormat="false" ht="15" hidden="false" customHeight="false" outlineLevel="0" collapsed="false">
      <c r="A60" s="23" t="n">
        <f aca="false">Anlagen!A60</f>
        <v>56</v>
      </c>
      <c r="B60" s="23" t="str">
        <f aca="false">Anlagen!B60</f>
        <v>Kammgarn</v>
      </c>
      <c r="C60" s="23" t="str">
        <f aca="false">Anlagen!D60</f>
        <v>B – Beobachtung</v>
      </c>
      <c r="D60" s="23" t="str">
        <f aca="false">Netz!N60</f>
        <v>Kammgarn: GW 1</v>
      </c>
      <c r="E60" s="23" t="n">
        <f aca="false">Anlagen!F60</f>
        <v>28</v>
      </c>
      <c r="F60" s="30" t="n">
        <f aca="false">Buchungsquote!T60</f>
        <v>0.429143947655398</v>
      </c>
      <c r="G60" s="31" t="n">
        <f aca="false">Buchungsquote!V60</f>
        <v>12.0160305343511</v>
      </c>
      <c r="H60" s="38" t="n">
        <f aca="false">G60*Preis_Jahr</f>
        <v>1441.92366412214</v>
      </c>
      <c r="I60" s="30" t="n">
        <f aca="false">IFERROR(E60/INDEX(Standorte!$D$5:$D$92,MATCH(Netz!C60,Anlagen!$A$5:$A$92,0)),0)</f>
        <v>0.301075268817204</v>
      </c>
      <c r="J60" s="38" t="n">
        <f aca="false">Investition!N60+I60*IFERROR(INDEX(Standorte!$N$5:$N$92,MATCH(Netz!C60,Anlagen!$A$5:$A$92,0)),0)</f>
        <v>9761.56733817271</v>
      </c>
      <c r="K60" s="38" t="n">
        <f aca="false">Investition!O60+I60*IFERROR(INDEX(Standorte!$O$5:$O$92,MATCH(Netz!C60,Anlagen!$A$5:$A$92,0)),0)+H60*Zahlung</f>
        <v>824.132687058093</v>
      </c>
      <c r="L60" s="38" t="n">
        <f aca="false">H60-K60</f>
        <v>617.790977064045</v>
      </c>
      <c r="M60" s="31" t="n">
        <f aca="false">IF(L60&gt;0,J60/L60,"nie")</f>
        <v>15.8007606141531</v>
      </c>
      <c r="N60" s="38" t="n">
        <f aca="false">IF(G60&gt;0,J60/G60,0)</f>
        <v>812.378706118179</v>
      </c>
    </row>
    <row r="61" customFormat="false" ht="15" hidden="false" customHeight="false" outlineLevel="0" collapsed="false">
      <c r="A61" s="23" t="n">
        <f aca="false">Anlagen!A61</f>
        <v>57</v>
      </c>
      <c r="B61" s="23" t="str">
        <f aca="false">Anlagen!B61</f>
        <v>Kirchmöser-Dorf</v>
      </c>
      <c r="C61" s="23" t="str">
        <f aca="false">Anlagen!D61</f>
        <v>C – Qualifizierung</v>
      </c>
      <c r="D61" s="23" t="str">
        <f aca="false">Netz!N61</f>
        <v>Kirchmöser-Dorf: GW 1</v>
      </c>
      <c r="E61" s="23" t="n">
        <f aca="false">Anlagen!F61</f>
        <v>48</v>
      </c>
      <c r="F61" s="30" t="n">
        <f aca="false">Buchungsquote!T61</f>
        <v>0.475653409090909</v>
      </c>
      <c r="G61" s="31" t="n">
        <f aca="false">Buchungsquote!V61</f>
        <v>22.8313636363636</v>
      </c>
      <c r="H61" s="38" t="n">
        <f aca="false">G61*Preis_Jahr</f>
        <v>2739.76363636364</v>
      </c>
      <c r="I61" s="30" t="n">
        <f aca="false">IFERROR(E61/INDEX(Standorte!$D$5:$D$92,MATCH(Netz!C61,Anlagen!$A$5:$A$92,0)),0)</f>
        <v>0.5</v>
      </c>
      <c r="J61" s="38" t="n">
        <f aca="false">Investition!N61+I61*IFERROR(INDEX(Standorte!$N$5:$N$92,MATCH(Netz!C61,Anlagen!$A$5:$A$92,0)),0)</f>
        <v>17593.8125330782</v>
      </c>
      <c r="K61" s="38" t="n">
        <f aca="false">Investition!O61+I61*IFERROR(INDEX(Standorte!$O$5:$O$92,MATCH(Netz!C61,Anlagen!$A$5:$A$92,0)),0)+H61*Zahlung</f>
        <v>1460.85728508326</v>
      </c>
      <c r="L61" s="38" t="n">
        <f aca="false">H61-K61</f>
        <v>1278.90635128038</v>
      </c>
      <c r="M61" s="31" t="n">
        <f aca="false">IF(L61&gt;0,J61/L61,"nie")</f>
        <v>13.7569201337253</v>
      </c>
      <c r="N61" s="38" t="n">
        <f aca="false">IF(G61&gt;0,J61/G61,0)</f>
        <v>770.598410734279</v>
      </c>
    </row>
    <row r="62" customFormat="false" ht="15" hidden="false" customHeight="false" outlineLevel="0" collapsed="false">
      <c r="A62" s="23" t="n">
        <f aca="false">Anlagen!A62</f>
        <v>58</v>
      </c>
      <c r="B62" s="23" t="str">
        <f aca="false">Anlagen!B62</f>
        <v>Kirchmöser-Lehmgarten</v>
      </c>
      <c r="C62" s="23" t="str">
        <f aca="false">Anlagen!D62</f>
        <v>B – Beobachtung</v>
      </c>
      <c r="D62" s="23" t="str">
        <f aca="false">Netz!N62</f>
        <v>Kirchmöser-Ost: GW 2</v>
      </c>
      <c r="E62" s="23" t="n">
        <f aca="false">Anlagen!F62</f>
        <v>38</v>
      </c>
      <c r="F62" s="30" t="n">
        <f aca="false">Buchungsquote!T62</f>
        <v>0.590244039586145</v>
      </c>
      <c r="G62" s="31" t="n">
        <f aca="false">Buchungsquote!V62</f>
        <v>22.4292735042735</v>
      </c>
      <c r="H62" s="38" t="n">
        <f aca="false">G62*Preis_Jahr</f>
        <v>2691.51282051282</v>
      </c>
      <c r="I62" s="30" t="n">
        <f aca="false">IFERROR(E62/INDEX(Standorte!$D$5:$D$92,MATCH(Netz!C62,Anlagen!$A$5:$A$92,0)),0)</f>
        <v>0.365384615384615</v>
      </c>
      <c r="J62" s="38" t="n">
        <f aca="false">Investition!N62+I62*IFERROR(INDEX(Standorte!$N$5:$N$92,MATCH(Netz!C62,Anlagen!$A$5:$A$92,0)),0)</f>
        <v>15168.5210283138</v>
      </c>
      <c r="K62" s="38" t="n">
        <f aca="false">Investition!O62+I62*IFERROR(INDEX(Standorte!$O$5:$O$92,MATCH(Netz!C62,Anlagen!$A$5:$A$92,0)),0)+H62*Zahlung</f>
        <v>1162.15293854172</v>
      </c>
      <c r="L62" s="38" t="n">
        <f aca="false">H62-K62</f>
        <v>1529.3598819711</v>
      </c>
      <c r="M62" s="31" t="n">
        <f aca="false">IF(L62&gt;0,J62/L62,"nie")</f>
        <v>9.91821559276424</v>
      </c>
      <c r="N62" s="38" t="n">
        <f aca="false">IF(G62&gt;0,J62/G62,0)</f>
        <v>676.282315850476</v>
      </c>
    </row>
    <row r="63" customFormat="false" ht="15" hidden="false" customHeight="false" outlineLevel="0" collapsed="false">
      <c r="A63" s="23" t="n">
        <f aca="false">Anlagen!A63</f>
        <v>59</v>
      </c>
      <c r="B63" s="23" t="str">
        <f aca="false">Anlagen!B63</f>
        <v>Kirchmöser-Ost</v>
      </c>
      <c r="C63" s="23" t="str">
        <f aca="false">Anlagen!D63</f>
        <v>A – Stabil</v>
      </c>
      <c r="D63" s="23" t="str">
        <f aca="false">Netz!N63</f>
        <v>Kirchmöser-Ost: GW 1–2</v>
      </c>
      <c r="E63" s="23" t="n">
        <f aca="false">Anlagen!F63</f>
        <v>66</v>
      </c>
      <c r="F63" s="30" t="n">
        <f aca="false">Buchungsquote!T63</f>
        <v>0.533560864618885</v>
      </c>
      <c r="G63" s="31" t="n">
        <f aca="false">Buchungsquote!V63</f>
        <v>35.2150170648464</v>
      </c>
      <c r="H63" s="38" t="n">
        <f aca="false">G63*Preis_Jahr</f>
        <v>4225.80204778157</v>
      </c>
      <c r="I63" s="30" t="n">
        <f aca="false">IFERROR(E63/INDEX(Standorte!$D$5:$D$92,MATCH(Netz!C63,Anlagen!$A$5:$A$92,0)),0)</f>
        <v>0.634615384615385</v>
      </c>
      <c r="J63" s="38" t="n">
        <f aca="false">Investition!N63+I63*IFERROR(INDEX(Standorte!$N$5:$N$92,MATCH(Netz!C63,Anlagen!$A$5:$A$92,0)),0)</f>
        <v>21745.3189456864</v>
      </c>
      <c r="K63" s="38" t="n">
        <f aca="false">Investition!O63+I63*IFERROR(INDEX(Standorte!$O$5:$O$92,MATCH(Netz!C63,Anlagen!$A$5:$A$92,0)),0)+H63*Zahlung</f>
        <v>1854.48170672712</v>
      </c>
      <c r="L63" s="38" t="n">
        <f aca="false">H63-K63</f>
        <v>2371.32034105445</v>
      </c>
      <c r="M63" s="31" t="n">
        <f aca="false">IF(L63&gt;0,J63/L63,"nie")</f>
        <v>9.1701313269286</v>
      </c>
      <c r="N63" s="38" t="n">
        <f aca="false">IF(G63&gt;0,J63/G63,0)</f>
        <v>617.501303652465</v>
      </c>
    </row>
    <row r="64" customFormat="false" ht="15" hidden="false" customHeight="false" outlineLevel="0" collapsed="false">
      <c r="A64" s="23" t="n">
        <f aca="false">Anlagen!A64</f>
        <v>60</v>
      </c>
      <c r="B64" s="23" t="str">
        <f aca="false">Anlagen!B64</f>
        <v>Landheim</v>
      </c>
      <c r="C64" s="23" t="str">
        <f aca="false">Anlagen!D64</f>
        <v>A – Stabil</v>
      </c>
      <c r="D64" s="23" t="str">
        <f aca="false">Netz!N64</f>
        <v>Glück im Winkel: GW 8–10</v>
      </c>
      <c r="E64" s="23" t="n">
        <f aca="false">Anlagen!F64</f>
        <v>109</v>
      </c>
      <c r="F64" s="30" t="n">
        <f aca="false">Buchungsquote!T64</f>
        <v>0.538299819329407</v>
      </c>
      <c r="G64" s="31" t="n">
        <f aca="false">Buchungsquote!V64</f>
        <v>58.6746803069054</v>
      </c>
      <c r="H64" s="38" t="n">
        <f aca="false">G64*Preis_Jahr</f>
        <v>7040.96163682865</v>
      </c>
      <c r="I64" s="30" t="n">
        <f aca="false">IFERROR(E64/INDEX(Standorte!$D$5:$D$92,MATCH(Netz!C64,Anlagen!$A$5:$A$92,0)),0)</f>
        <v>0.201851851851852</v>
      </c>
      <c r="J64" s="38" t="n">
        <f aca="false">Investition!N64+I64*IFERROR(INDEX(Standorte!$N$5:$N$92,MATCH(Netz!C64,Anlagen!$A$5:$A$92,0)),0)</f>
        <v>37041.9122333204</v>
      </c>
      <c r="K64" s="38" t="n">
        <f aca="false">Investition!O64+I64*IFERROR(INDEX(Standorte!$O$5:$O$92,MATCH(Netz!C64,Anlagen!$A$5:$A$92,0)),0)+H64*Zahlung</f>
        <v>2310.12010499336</v>
      </c>
      <c r="L64" s="38" t="n">
        <f aca="false">H64-K64</f>
        <v>4730.84153183529</v>
      </c>
      <c r="M64" s="31" t="n">
        <f aca="false">IF(L64&gt;0,J64/L64,"nie")</f>
        <v>7.82987804263871</v>
      </c>
      <c r="N64" s="38" t="n">
        <f aca="false">IF(G64&gt;0,J64/G64,0)</f>
        <v>631.309996740808</v>
      </c>
    </row>
    <row r="65" customFormat="false" ht="15" hidden="false" customHeight="false" outlineLevel="0" collapsed="false">
      <c r="A65" s="23" t="n">
        <f aca="false">Anlagen!A65</f>
        <v>61</v>
      </c>
      <c r="B65" s="23" t="str">
        <f aca="false">Anlagen!B65</f>
        <v>Märkische Aue</v>
      </c>
      <c r="C65" s="23" t="str">
        <f aca="false">Anlagen!D65</f>
        <v>B – Beobachtung</v>
      </c>
      <c r="D65" s="23" t="str">
        <f aca="false">Netz!N65</f>
        <v>Zukunft: GW 4–5</v>
      </c>
      <c r="E65" s="23" t="n">
        <f aca="false">Anlagen!F65</f>
        <v>73</v>
      </c>
      <c r="F65" s="30" t="n">
        <f aca="false">Buchungsquote!T65</f>
        <v>0.580143805309735</v>
      </c>
      <c r="G65" s="31" t="n">
        <f aca="false">Buchungsquote!V65</f>
        <v>42.3504977876106</v>
      </c>
      <c r="H65" s="38" t="n">
        <f aca="false">G65*Preis_Jahr</f>
        <v>5082.05973451328</v>
      </c>
      <c r="I65" s="30" t="n">
        <f aca="false">IFERROR(E65/INDEX(Standorte!$D$5:$D$92,MATCH(Netz!C65,Anlagen!$A$5:$A$92,0)),0)</f>
        <v>0.267399267399267</v>
      </c>
      <c r="J65" s="38" t="n">
        <f aca="false">Investition!N65+I65*IFERROR(INDEX(Standorte!$N$5:$N$92,MATCH(Netz!C65,Anlagen!$A$5:$A$92,0)),0)</f>
        <v>25344.1704931616</v>
      </c>
      <c r="K65" s="38" t="n">
        <f aca="false">Investition!O65+I65*IFERROR(INDEX(Standorte!$O$5:$O$92,MATCH(Netz!C65,Anlagen!$A$5:$A$92,0)),0)+H65*Zahlung</f>
        <v>1561.90357349691</v>
      </c>
      <c r="L65" s="38" t="n">
        <f aca="false">H65-K65</f>
        <v>3520.15616101636</v>
      </c>
      <c r="M65" s="31" t="n">
        <f aca="false">IF(L65&gt;0,J65/L65,"nie")</f>
        <v>7.19972902731793</v>
      </c>
      <c r="N65" s="38" t="n">
        <f aca="false">IF(G65&gt;0,J65/G65,0)</f>
        <v>598.438550126696</v>
      </c>
    </row>
    <row r="66" customFormat="false" ht="15" hidden="false" customHeight="false" outlineLevel="0" collapsed="false">
      <c r="A66" s="23" t="n">
        <f aca="false">Anlagen!A66</f>
        <v>62</v>
      </c>
      <c r="B66" s="23" t="str">
        <f aca="false">Anlagen!B66</f>
        <v>Mittelweg</v>
      </c>
      <c r="C66" s="23" t="str">
        <f aca="false">Anlagen!D66</f>
        <v>C – Qualifizierung</v>
      </c>
      <c r="D66" s="23" t="str">
        <f aca="false">Netz!N66</f>
        <v>Eichhorstweg: GW 1–2</v>
      </c>
      <c r="E66" s="23" t="n">
        <f aca="false">Anlagen!F66</f>
        <v>36</v>
      </c>
      <c r="F66" s="30" t="n">
        <f aca="false">Buchungsquote!T66</f>
        <v>0.480306919642857</v>
      </c>
      <c r="G66" s="31" t="n">
        <f aca="false">Buchungsquote!V66</f>
        <v>17.2910491071429</v>
      </c>
      <c r="H66" s="38" t="n">
        <f aca="false">G66*Preis_Jahr</f>
        <v>2074.92589285714</v>
      </c>
      <c r="I66" s="30" t="n">
        <f aca="false">IFERROR(E66/INDEX(Standorte!$D$5:$D$92,MATCH(Netz!C66,Anlagen!$A$5:$A$92,0)),0)</f>
        <v>0.486486486486487</v>
      </c>
      <c r="J66" s="38" t="n">
        <f aca="false">Investition!N66+I66*IFERROR(INDEX(Standorte!$N$5:$N$92,MATCH(Netz!C66,Anlagen!$A$5:$A$92,0)),0)</f>
        <v>14830.8670170382</v>
      </c>
      <c r="K66" s="38" t="n">
        <f aca="false">Investition!O66+I66*IFERROR(INDEX(Standorte!$O$5:$O$92,MATCH(Netz!C66,Anlagen!$A$5:$A$92,0)),0)+H66*Zahlung</f>
        <v>1281.96027378335</v>
      </c>
      <c r="L66" s="38" t="n">
        <f aca="false">H66-K66</f>
        <v>792.965619073795</v>
      </c>
      <c r="M66" s="31" t="n">
        <f aca="false">IF(L66&gt;0,J66/L66,"nie")</f>
        <v>18.7030391486091</v>
      </c>
      <c r="N66" s="38" t="n">
        <f aca="false">IF(G66&gt;0,J66/G66,0)</f>
        <v>857.719327794382</v>
      </c>
    </row>
    <row r="67" customFormat="false" ht="15" hidden="false" customHeight="false" outlineLevel="0" collapsed="false">
      <c r="A67" s="23" t="n">
        <f aca="false">Anlagen!A67</f>
        <v>63</v>
      </c>
      <c r="B67" s="23" t="str">
        <f aca="false">Anlagen!B67</f>
        <v>Morgenrot</v>
      </c>
      <c r="C67" s="23" t="str">
        <f aca="false">Anlagen!D67</f>
        <v>B – Beobachtung</v>
      </c>
      <c r="D67" s="23" t="str">
        <f aca="false">Netz!N67</f>
        <v>Sommerfreude II: GW 5</v>
      </c>
      <c r="E67" s="23" t="n">
        <f aca="false">Anlagen!F67</f>
        <v>25</v>
      </c>
      <c r="F67" s="30" t="n">
        <f aca="false">Buchungsquote!T67</f>
        <v>0.7008</v>
      </c>
      <c r="G67" s="31" t="n">
        <f aca="false">Buchungsquote!V67</f>
        <v>17.52</v>
      </c>
      <c r="H67" s="38" t="n">
        <f aca="false">G67*Preis_Jahr</f>
        <v>2102.4</v>
      </c>
      <c r="I67" s="30" t="n">
        <f aca="false">IFERROR(E67/INDEX(Standorte!$D$5:$D$92,MATCH(Netz!C67,Anlagen!$A$5:$A$92,0)),0)</f>
        <v>0.068870523415978</v>
      </c>
      <c r="J67" s="38" t="n">
        <f aca="false">Investition!N67+I67*IFERROR(INDEX(Standorte!$N$5:$N$92,MATCH(Netz!C67,Anlagen!$A$5:$A$92,0)),0)</f>
        <v>10444.5735026583</v>
      </c>
      <c r="K67" s="38" t="n">
        <f aca="false">Investition!O67+I67*IFERROR(INDEX(Standorte!$O$5:$O$92,MATCH(Netz!C67,Anlagen!$A$5:$A$92,0)),0)+H67*Zahlung</f>
        <v>590.06829598884</v>
      </c>
      <c r="L67" s="38" t="n">
        <f aca="false">H67-K67</f>
        <v>1512.33170401116</v>
      </c>
      <c r="M67" s="31" t="n">
        <f aca="false">IF(L67&gt;0,J67/L67,"nie")</f>
        <v>6.90627160361457</v>
      </c>
      <c r="N67" s="38" t="n">
        <f aca="false">IF(G67&gt;0,J67/G67,0)</f>
        <v>596.151455631182</v>
      </c>
    </row>
    <row r="68" customFormat="false" ht="15" hidden="false" customHeight="false" outlineLevel="0" collapsed="false">
      <c r="A68" s="23" t="n">
        <f aca="false">Anlagen!A68</f>
        <v>64</v>
      </c>
      <c r="B68" s="23" t="str">
        <f aca="false">Anlagen!B68</f>
        <v>Neues Leben</v>
      </c>
      <c r="C68" s="23" t="str">
        <f aca="false">Anlagen!D68</f>
        <v>C – Qualifizierung</v>
      </c>
      <c r="D68" s="23" t="str">
        <f aca="false">Netz!N68</f>
        <v>Helgoland: GW 6–8</v>
      </c>
      <c r="E68" s="23" t="n">
        <f aca="false">Anlagen!F68</f>
        <v>62</v>
      </c>
      <c r="F68" s="30" t="n">
        <f aca="false">Buchungsquote!T68</f>
        <v>0.522857678328033</v>
      </c>
      <c r="G68" s="31" t="n">
        <f aca="false">Buchungsquote!V68</f>
        <v>32.417176056338</v>
      </c>
      <c r="H68" s="38" t="n">
        <f aca="false">G68*Preis_Jahr</f>
        <v>3890.06112676056</v>
      </c>
      <c r="I68" s="30" t="n">
        <f aca="false">IFERROR(E68/INDEX(Standorte!$D$5:$D$92,MATCH(Netz!C68,Anlagen!$A$5:$A$92,0)),0)</f>
        <v>0.112932604735883</v>
      </c>
      <c r="J68" s="38" t="n">
        <f aca="false">Investition!N68+I68*IFERROR(INDEX(Standorte!$N$5:$N$92,MATCH(Netz!C68,Anlagen!$A$5:$A$92,0)),0)</f>
        <v>22795.6176012195</v>
      </c>
      <c r="K68" s="38" t="n">
        <f aca="false">Investition!O68+I68*IFERROR(INDEX(Standorte!$O$5:$O$92,MATCH(Netz!C68,Anlagen!$A$5:$A$92,0)),0)+H68*Zahlung</f>
        <v>1384.32063506345</v>
      </c>
      <c r="L68" s="38" t="n">
        <f aca="false">H68-K68</f>
        <v>2505.74049169712</v>
      </c>
      <c r="M68" s="31" t="n">
        <f aca="false">IF(L68&gt;0,J68/L68,"nie")</f>
        <v>9.09735771790964</v>
      </c>
      <c r="N68" s="38" t="n">
        <f aca="false">IF(G68&gt;0,J68/G68,0)</f>
        <v>703.195662743813</v>
      </c>
    </row>
    <row r="69" customFormat="false" ht="15" hidden="false" customHeight="false" outlineLevel="0" collapsed="false">
      <c r="A69" s="23" t="n">
        <f aca="false">Anlagen!A69</f>
        <v>65</v>
      </c>
      <c r="B69" s="23" t="str">
        <f aca="false">Anlagen!B69</f>
        <v>Neu-Sanssouci</v>
      </c>
      <c r="C69" s="23" t="str">
        <f aca="false">Anlagen!D69</f>
        <v>A – Stabil</v>
      </c>
      <c r="D69" s="23" t="str">
        <f aca="false">Netz!N69</f>
        <v>Helgoland: GW 8–9</v>
      </c>
      <c r="E69" s="23" t="n">
        <f aca="false">Anlagen!F69</f>
        <v>77</v>
      </c>
      <c r="F69" s="30" t="n">
        <f aca="false">Buchungsquote!T69</f>
        <v>0.622785547785548</v>
      </c>
      <c r="G69" s="31" t="n">
        <f aca="false">Buchungsquote!V69</f>
        <v>47.9544871794872</v>
      </c>
      <c r="H69" s="38" t="n">
        <f aca="false">G69*Preis_Jahr</f>
        <v>5754.53846153846</v>
      </c>
      <c r="I69" s="30" t="n">
        <f aca="false">IFERROR(E69/INDEX(Standorte!$D$5:$D$92,MATCH(Netz!C69,Anlagen!$A$5:$A$92,0)),0)</f>
        <v>0.140255009107468</v>
      </c>
      <c r="J69" s="38" t="n">
        <f aca="false">Investition!N69+I69*IFERROR(INDEX(Standorte!$N$5:$N$92,MATCH(Netz!C69,Anlagen!$A$5:$A$92,0)),0)</f>
        <v>24612.1189673511</v>
      </c>
      <c r="K69" s="38" t="n">
        <f aca="false">Investition!O69+I69*IFERROR(INDEX(Standorte!$O$5:$O$92,MATCH(Netz!C69,Anlagen!$A$5:$A$92,0)),0)+H69*Zahlung</f>
        <v>1564.00409445139</v>
      </c>
      <c r="L69" s="38" t="n">
        <f aca="false">H69-K69</f>
        <v>4190.53436708708</v>
      </c>
      <c r="M69" s="31" t="n">
        <f aca="false">IF(L69&gt;0,J69/L69,"nie")</f>
        <v>5.87326503289352</v>
      </c>
      <c r="N69" s="38" t="n">
        <f aca="false">IF(G69&gt;0,J69/G69,0)</f>
        <v>513.239123488721</v>
      </c>
    </row>
    <row r="70" customFormat="false" ht="15" hidden="false" customHeight="false" outlineLevel="0" collapsed="false">
      <c r="A70" s="23" t="n">
        <f aca="false">Anlagen!A70</f>
        <v>66</v>
      </c>
      <c r="B70" s="23" t="str">
        <f aca="false">Anlagen!B70</f>
        <v>Oase</v>
      </c>
      <c r="C70" s="23" t="str">
        <f aca="false">Anlagen!D70</f>
        <v>A – Stabil</v>
      </c>
      <c r="D70" s="23" t="str">
        <f aca="false">Netz!N70</f>
        <v>Erdenglück: GW 5–6</v>
      </c>
      <c r="E70" s="23" t="n">
        <f aca="false">Anlagen!F70</f>
        <v>47</v>
      </c>
      <c r="F70" s="30" t="n">
        <f aca="false">Buchungsquote!T70</f>
        <v>0.683788395904437</v>
      </c>
      <c r="G70" s="31" t="n">
        <f aca="false">Buchungsquote!V70</f>
        <v>32.1380546075085</v>
      </c>
      <c r="H70" s="38" t="n">
        <f aca="false">G70*Preis_Jahr</f>
        <v>3856.56655290102</v>
      </c>
      <c r="I70" s="30" t="n">
        <f aca="false">IFERROR(E70/INDEX(Standorte!$D$5:$D$92,MATCH(Netz!C70,Anlagen!$A$5:$A$92,0)),0)</f>
        <v>0.0993657505285412</v>
      </c>
      <c r="J70" s="38" t="n">
        <f aca="false">Investition!N70+I70*IFERROR(INDEX(Standorte!$N$5:$N$92,MATCH(Netz!C70,Anlagen!$A$5:$A$92,0)),0)</f>
        <v>18824.9114415036</v>
      </c>
      <c r="K70" s="38" t="n">
        <f aca="false">Investition!O70+I70*IFERROR(INDEX(Standorte!$O$5:$O$92,MATCH(Netz!C70,Anlagen!$A$5:$A$92,0)),0)+H70*Zahlung</f>
        <v>1167.35057661861</v>
      </c>
      <c r="L70" s="38" t="n">
        <f aca="false">H70-K70</f>
        <v>2689.21597628242</v>
      </c>
      <c r="M70" s="31" t="n">
        <f aca="false">IF(L70&gt;0,J70/L70,"nie")</f>
        <v>7.00014859629356</v>
      </c>
      <c r="N70" s="38" t="n">
        <f aca="false">IF(G70&gt;0,J70/G70,0)</f>
        <v>585.751429929597</v>
      </c>
    </row>
    <row r="71" customFormat="false" ht="15" hidden="false" customHeight="false" outlineLevel="0" collapsed="false">
      <c r="A71" s="23" t="n">
        <f aca="false">Anlagen!A71</f>
        <v>67</v>
      </c>
      <c r="B71" s="23" t="str">
        <f aca="false">Anlagen!B71</f>
        <v>Pferdewiese</v>
      </c>
      <c r="C71" s="23" t="str">
        <f aca="false">Anlagen!D71</f>
        <v>C – Qualifizierung</v>
      </c>
      <c r="D71" s="23" t="str">
        <f aca="false">Netz!N71</f>
        <v>Bergfrieden: GW 3–4</v>
      </c>
      <c r="E71" s="23" t="n">
        <f aca="false">Anlagen!F71</f>
        <v>55</v>
      </c>
      <c r="F71" s="30" t="n">
        <f aca="false">Buchungsquote!T71</f>
        <v>0.509232558139535</v>
      </c>
      <c r="G71" s="31" t="n">
        <f aca="false">Buchungsquote!V71</f>
        <v>28.0077906976744</v>
      </c>
      <c r="H71" s="38" t="n">
        <f aca="false">G71*Preis_Jahr</f>
        <v>3360.93488372093</v>
      </c>
      <c r="I71" s="30" t="n">
        <f aca="false">IFERROR(E71/INDEX(Standorte!$D$5:$D$92,MATCH(Netz!C71,Anlagen!$A$5:$A$92,0)),0)</f>
        <v>0.297297297297297</v>
      </c>
      <c r="J71" s="38" t="n">
        <f aca="false">Investition!N71+I71*IFERROR(INDEX(Standorte!$N$5:$N$92,MATCH(Netz!C71,Anlagen!$A$5:$A$92,0)),0)</f>
        <v>21789.5950657143</v>
      </c>
      <c r="K71" s="38" t="n">
        <f aca="false">Investition!O71+I71*IFERROR(INDEX(Standorte!$O$5:$O$92,MATCH(Netz!C71,Anlagen!$A$5:$A$92,0)),0)+H71*Zahlung</f>
        <v>1374.60238496954</v>
      </c>
      <c r="L71" s="38" t="n">
        <f aca="false">H71-K71</f>
        <v>1986.33249875139</v>
      </c>
      <c r="M71" s="31" t="n">
        <f aca="false">IF(L71&gt;0,J71/L71,"nie")</f>
        <v>10.9697621518106</v>
      </c>
      <c r="N71" s="38" t="n">
        <f aca="false">IF(G71&gt;0,J71/G71,0)</f>
        <v>777.983358306215</v>
      </c>
    </row>
    <row r="72" customFormat="false" ht="15" hidden="false" customHeight="false" outlineLevel="0" collapsed="false">
      <c r="A72" s="23" t="n">
        <f aca="false">Anlagen!A72</f>
        <v>68</v>
      </c>
      <c r="B72" s="23" t="str">
        <f aca="false">Anlagen!B72</f>
        <v>Plane II</v>
      </c>
      <c r="C72" s="23" t="str">
        <f aca="false">Anlagen!D72</f>
        <v>C – Qualifizierung</v>
      </c>
      <c r="D72" s="23" t="str">
        <f aca="false">Netz!N72</f>
        <v>Sommerfreude II: GW 5–6</v>
      </c>
      <c r="E72" s="23" t="n">
        <f aca="false">Anlagen!F72</f>
        <v>28</v>
      </c>
      <c r="F72" s="30" t="n">
        <f aca="false">Buchungsquote!T72</f>
        <v>0.541666666666667</v>
      </c>
      <c r="G72" s="31" t="n">
        <f aca="false">Buchungsquote!V72</f>
        <v>15.1666666666667</v>
      </c>
      <c r="H72" s="38" t="n">
        <f aca="false">G72*Preis_Jahr</f>
        <v>1820</v>
      </c>
      <c r="I72" s="30" t="n">
        <f aca="false">IFERROR(E72/INDEX(Standorte!$D$5:$D$92,MATCH(Netz!C72,Anlagen!$A$5:$A$92,0)),0)</f>
        <v>0.0771349862258953</v>
      </c>
      <c r="J72" s="38" t="n">
        <f aca="false">Investition!N72+I72*IFERROR(INDEX(Standorte!$N$5:$N$92,MATCH(Netz!C72,Anlagen!$A$5:$A$92,0)),0)</f>
        <v>13584.0673747546</v>
      </c>
      <c r="K72" s="38" t="n">
        <f aca="false">Investition!O72+I72*IFERROR(INDEX(Standorte!$O$5:$O$92,MATCH(Netz!C72,Anlagen!$A$5:$A$92,0)),0)+H72*Zahlung</f>
        <v>687.14020306082</v>
      </c>
      <c r="L72" s="38" t="n">
        <f aca="false">H72-K72</f>
        <v>1132.85979693918</v>
      </c>
      <c r="M72" s="31" t="n">
        <f aca="false">IF(L72&gt;0,J72/L72,"nie")</f>
        <v>11.990951935497</v>
      </c>
      <c r="N72" s="38" t="n">
        <f aca="false">IF(G72&gt;0,J72/G72,0)</f>
        <v>895.652793939864</v>
      </c>
    </row>
    <row r="73" customFormat="false" ht="15" hidden="false" customHeight="false" outlineLevel="0" collapsed="false">
      <c r="A73" s="23" t="n">
        <f aca="false">Anlagen!A73</f>
        <v>69</v>
      </c>
      <c r="B73" s="23" t="str">
        <f aca="false">Anlagen!B73</f>
        <v>Platz der Einheit</v>
      </c>
      <c r="C73" s="23" t="str">
        <f aca="false">Anlagen!D73</f>
        <v>C – Qualifizierung</v>
      </c>
      <c r="D73" s="23" t="str">
        <f aca="false">Netz!N73</f>
        <v>Kirchmöser-Dorf: GW 1–2</v>
      </c>
      <c r="E73" s="23" t="n">
        <f aca="false">Anlagen!F73</f>
        <v>48</v>
      </c>
      <c r="F73" s="30" t="n">
        <f aca="false">Buchungsquote!T73</f>
        <v>0.558608141447368</v>
      </c>
      <c r="G73" s="31" t="n">
        <f aca="false">Buchungsquote!V73</f>
        <v>26.8131907894737</v>
      </c>
      <c r="H73" s="38" t="n">
        <f aca="false">G73*Preis_Jahr</f>
        <v>3217.58289473684</v>
      </c>
      <c r="I73" s="30" t="n">
        <f aca="false">IFERROR(E73/INDEX(Standorte!$D$5:$D$92,MATCH(Netz!C73,Anlagen!$A$5:$A$92,0)),0)</f>
        <v>0.5</v>
      </c>
      <c r="J73" s="38" t="n">
        <f aca="false">Investition!N73+I73*IFERROR(INDEX(Standorte!$N$5:$N$92,MATCH(Netz!C73,Anlagen!$A$5:$A$92,0)),0)</f>
        <v>19432.1102824529</v>
      </c>
      <c r="K73" s="38" t="n">
        <f aca="false">Investition!O73+I73*IFERROR(INDEX(Standorte!$O$5:$O$92,MATCH(Netz!C73,Anlagen!$A$5:$A$92,0)),0)+H73*Zahlung</f>
        <v>1530.34079531569</v>
      </c>
      <c r="L73" s="38" t="n">
        <f aca="false">H73-K73</f>
        <v>1687.24209942115</v>
      </c>
      <c r="M73" s="31" t="n">
        <f aca="false">IF(L73&gt;0,J73/L73,"nie")</f>
        <v>11.517084767574</v>
      </c>
      <c r="N73" s="38" t="n">
        <f aca="false">IF(G73&gt;0,J73/G73,0)</f>
        <v>724.722038306667</v>
      </c>
    </row>
    <row r="74" customFormat="false" ht="15" hidden="false" customHeight="false" outlineLevel="0" collapsed="false">
      <c r="A74" s="23" t="n">
        <f aca="false">Anlagen!A74</f>
        <v>70</v>
      </c>
      <c r="B74" s="23" t="str">
        <f aca="false">Anlagen!B74</f>
        <v>Sandfurth-Oase</v>
      </c>
      <c r="C74" s="23" t="str">
        <f aca="false">Anlagen!D74</f>
        <v>B – Beobachtung</v>
      </c>
      <c r="D74" s="23" t="str">
        <f aca="false">Netz!N74</f>
        <v>Sommerfreude II: GW 6</v>
      </c>
      <c r="E74" s="23" t="n">
        <f aca="false">Anlagen!F74</f>
        <v>15</v>
      </c>
      <c r="F74" s="30" t="n">
        <f aca="false">Buchungsquote!T74</f>
        <v>0.599746192893401</v>
      </c>
      <c r="G74" s="31" t="n">
        <f aca="false">Buchungsquote!V74</f>
        <v>8.99619289340102</v>
      </c>
      <c r="H74" s="38" t="n">
        <f aca="false">G74*Preis_Jahr</f>
        <v>1079.54314720812</v>
      </c>
      <c r="I74" s="30" t="n">
        <f aca="false">IFERROR(E74/INDEX(Standorte!$D$5:$D$92,MATCH(Netz!C74,Anlagen!$A$5:$A$92,0)),0)</f>
        <v>0.0413223140495868</v>
      </c>
      <c r="J74" s="38" t="n">
        <f aca="false">Investition!N74+I74*IFERROR(INDEX(Standorte!$N$5:$N$92,MATCH(Netz!C74,Anlagen!$A$5:$A$92,0)),0)</f>
        <v>9035.44181891842</v>
      </c>
      <c r="K74" s="38" t="n">
        <f aca="false">Investition!O74+I74*IFERROR(INDEX(Standorte!$O$5:$O$92,MATCH(Netz!C74,Anlagen!$A$5:$A$92,0)),0)+H74*Zahlung</f>
        <v>479.245003529251</v>
      </c>
      <c r="L74" s="38" t="n">
        <f aca="false">H74-K74</f>
        <v>600.298143678871</v>
      </c>
      <c r="M74" s="31" t="n">
        <f aca="false">IF(L74&gt;0,J74/L74,"nie")</f>
        <v>15.0515904706044</v>
      </c>
      <c r="N74" s="38" t="n">
        <f aca="false">IF(G74&gt;0,J74/G74,0)</f>
        <v>1004.36283725599</v>
      </c>
    </row>
    <row r="75" customFormat="false" ht="15" hidden="false" customHeight="false" outlineLevel="0" collapsed="false">
      <c r="A75" s="23" t="n">
        <f aca="false">Anlagen!A75</f>
        <v>71</v>
      </c>
      <c r="B75" s="23" t="str">
        <f aca="false">Anlagen!B75</f>
        <v>Sanssouci</v>
      </c>
      <c r="C75" s="23" t="str">
        <f aca="false">Anlagen!D75</f>
        <v>A – Stabil</v>
      </c>
      <c r="D75" s="23" t="str">
        <f aca="false">Netz!N75</f>
        <v>Eigener Fleiß: GW 9–10</v>
      </c>
      <c r="E75" s="23" t="n">
        <f aca="false">Anlagen!F75</f>
        <v>39</v>
      </c>
      <c r="F75" s="30" t="n">
        <f aca="false">Buchungsquote!T75</f>
        <v>0.567567746637514</v>
      </c>
      <c r="G75" s="31" t="n">
        <f aca="false">Buchungsquote!V75</f>
        <v>22.135142118863</v>
      </c>
      <c r="H75" s="38" t="n">
        <f aca="false">G75*Preis_Jahr</f>
        <v>2656.21705426357</v>
      </c>
      <c r="I75" s="30" t="n">
        <f aca="false">IFERROR(E75/INDEX(Standorte!$D$5:$D$92,MATCH(Netz!C75,Anlagen!$A$5:$A$92,0)),0)</f>
        <v>0.0714285714285714</v>
      </c>
      <c r="J75" s="38" t="n">
        <f aca="false">Investition!N75+I75*IFERROR(INDEX(Standorte!$N$5:$N$92,MATCH(Netz!C75,Anlagen!$A$5:$A$92,0)),0)</f>
        <v>15440.2375038936</v>
      </c>
      <c r="K75" s="38" t="n">
        <f aca="false">Investition!O75+I75*IFERROR(INDEX(Standorte!$O$5:$O$92,MATCH(Netz!C75,Anlagen!$A$5:$A$92,0)),0)+H75*Zahlung</f>
        <v>902.443636744714</v>
      </c>
      <c r="L75" s="38" t="n">
        <f aca="false">H75-K75</f>
        <v>1753.77341751885</v>
      </c>
      <c r="M75" s="31" t="n">
        <f aca="false">IF(L75&gt;0,J75/L75,"nie")</f>
        <v>8.80400931480511</v>
      </c>
      <c r="N75" s="38" t="n">
        <f aca="false">IF(G75&gt;0,J75/G75,0)</f>
        <v>697.544087179624</v>
      </c>
    </row>
    <row r="76" customFormat="false" ht="15" hidden="false" customHeight="false" outlineLevel="0" collapsed="false">
      <c r="A76" s="23" t="n">
        <f aca="false">Anlagen!A76</f>
        <v>72</v>
      </c>
      <c r="B76" s="23" t="str">
        <f aca="false">Anlagen!B76</f>
        <v>Sommerfreude I</v>
      </c>
      <c r="C76" s="23" t="str">
        <f aca="false">Anlagen!D76</f>
        <v>B – Beobachtung</v>
      </c>
      <c r="D76" s="23" t="str">
        <f aca="false">Netz!N76</f>
        <v>Birkenwäldchen: GW 6–7</v>
      </c>
      <c r="E76" s="23" t="n">
        <f aca="false">Anlagen!F76</f>
        <v>49</v>
      </c>
      <c r="F76" s="30" t="n">
        <f aca="false">Buchungsquote!T76</f>
        <v>0.557123902192456</v>
      </c>
      <c r="G76" s="31" t="n">
        <f aca="false">Buchungsquote!V76</f>
        <v>27.2990712074303</v>
      </c>
      <c r="H76" s="38" t="n">
        <f aca="false">G76*Preis_Jahr</f>
        <v>3275.88854489164</v>
      </c>
      <c r="I76" s="30" t="n">
        <f aca="false">IFERROR(E76/INDEX(Standorte!$D$5:$D$92,MATCH(Netz!C76,Anlagen!$A$5:$A$92,0)),0)</f>
        <v>0.0902394106813996</v>
      </c>
      <c r="J76" s="38" t="n">
        <f aca="false">Investition!N76+I76*IFERROR(INDEX(Standorte!$N$5:$N$92,MATCH(Netz!C76,Anlagen!$A$5:$A$92,0)),0)</f>
        <v>17575.4307581361</v>
      </c>
      <c r="K76" s="38" t="n">
        <f aca="false">Investition!O76+I76*IFERROR(INDEX(Standorte!$O$5:$O$92,MATCH(Netz!C76,Anlagen!$A$5:$A$92,0)),0)+H76*Zahlung</f>
        <v>1092.26941334498</v>
      </c>
      <c r="L76" s="38" t="n">
        <f aca="false">H76-K76</f>
        <v>2183.61913154666</v>
      </c>
      <c r="M76" s="31" t="n">
        <f aca="false">IF(L76&gt;0,J76/L76,"nie")</f>
        <v>8.04876203190589</v>
      </c>
      <c r="N76" s="38" t="n">
        <f aca="false">IF(G76&gt;0,J76/G76,0)</f>
        <v>643.810575993237</v>
      </c>
    </row>
    <row r="77" customFormat="false" ht="15" hidden="false" customHeight="false" outlineLevel="0" collapsed="false">
      <c r="A77" s="23" t="n">
        <f aca="false">Anlagen!A77</f>
        <v>73</v>
      </c>
      <c r="B77" s="23" t="str">
        <f aca="false">Anlagen!B77</f>
        <v>Sommerfreude II</v>
      </c>
      <c r="C77" s="23" t="str">
        <f aca="false">Anlagen!D77</f>
        <v>A – Stabil</v>
      </c>
      <c r="D77" s="23" t="str">
        <f aca="false">Netz!N77</f>
        <v>Sommerfreude II: GW 1–3</v>
      </c>
      <c r="E77" s="23" t="n">
        <f aca="false">Anlagen!F77</f>
        <v>130</v>
      </c>
      <c r="F77" s="30" t="n">
        <f aca="false">Buchungsquote!T77</f>
        <v>0.564129108776686</v>
      </c>
      <c r="G77" s="31" t="n">
        <f aca="false">Buchungsquote!V77</f>
        <v>73.3367841409692</v>
      </c>
      <c r="H77" s="38" t="n">
        <f aca="false">G77*Preis_Jahr</f>
        <v>8800.4140969163</v>
      </c>
      <c r="I77" s="30" t="n">
        <f aca="false">IFERROR(E77/INDEX(Standorte!$D$5:$D$92,MATCH(Netz!C77,Anlagen!$A$5:$A$92,0)),0)</f>
        <v>0.358126721763085</v>
      </c>
      <c r="J77" s="38" t="n">
        <f aca="false">Investition!N77+I77*IFERROR(INDEX(Standorte!$N$5:$N$92,MATCH(Netz!C77,Anlagen!$A$5:$A$92,0)),0)</f>
        <v>38509.4043714175</v>
      </c>
      <c r="K77" s="38" t="n">
        <f aca="false">Investition!O77+I77*IFERROR(INDEX(Standorte!$O$5:$O$92,MATCH(Netz!C77,Anlagen!$A$5:$A$92,0)),0)+H77*Zahlung</f>
        <v>2447.02182677729</v>
      </c>
      <c r="L77" s="38" t="n">
        <f aca="false">H77-K77</f>
        <v>6353.39227013901</v>
      </c>
      <c r="M77" s="31" t="n">
        <f aca="false">IF(L77&gt;0,J77/L77,"nie")</f>
        <v>6.06123512196972</v>
      </c>
      <c r="N77" s="38" t="n">
        <f aca="false">IF(G77&gt;0,J77/G77,0)</f>
        <v>525.103531911</v>
      </c>
    </row>
    <row r="78" customFormat="false" ht="15" hidden="false" customHeight="false" outlineLevel="0" collapsed="false">
      <c r="A78" s="23" t="n">
        <f aca="false">Anlagen!A78</f>
        <v>74</v>
      </c>
      <c r="B78" s="23" t="str">
        <f aca="false">Anlagen!B78</f>
        <v>Sonnenrot</v>
      </c>
      <c r="C78" s="23" t="str">
        <f aca="false">Anlagen!D78</f>
        <v>A – Stabil</v>
      </c>
      <c r="D78" s="23" t="str">
        <f aca="false">Netz!N78</f>
        <v>Sommerfreude II: GW 6–7</v>
      </c>
      <c r="E78" s="23" t="n">
        <f aca="false">Anlagen!F78</f>
        <v>28</v>
      </c>
      <c r="F78" s="30" t="n">
        <f aca="false">Buchungsquote!T78</f>
        <v>0.604593175853018</v>
      </c>
      <c r="G78" s="31" t="n">
        <f aca="false">Buchungsquote!V78</f>
        <v>16.9286089238845</v>
      </c>
      <c r="H78" s="38" t="n">
        <f aca="false">G78*Preis_Jahr</f>
        <v>2031.43307086614</v>
      </c>
      <c r="I78" s="30" t="n">
        <f aca="false">IFERROR(E78/INDEX(Standorte!$D$5:$D$92,MATCH(Netz!C78,Anlagen!$A$5:$A$92,0)),0)</f>
        <v>0.0771349862258953</v>
      </c>
      <c r="J78" s="38" t="n">
        <f aca="false">Investition!N78+I78*IFERROR(INDEX(Standorte!$N$5:$N$92,MATCH(Netz!C78,Anlagen!$A$5:$A$92,0)),0)</f>
        <v>11936.2766424811</v>
      </c>
      <c r="K78" s="38" t="n">
        <f aca="false">Investition!O78+I78*IFERROR(INDEX(Standorte!$O$5:$O$92,MATCH(Netz!C78,Anlagen!$A$5:$A$92,0)),0)+H78*Zahlung</f>
        <v>644.0494732186</v>
      </c>
      <c r="L78" s="38" t="n">
        <f aca="false">H78-K78</f>
        <v>1387.38359764754</v>
      </c>
      <c r="M78" s="31" t="n">
        <f aca="false">IF(L78&gt;0,J78/L78,"nie")</f>
        <v>8.6034436782447</v>
      </c>
      <c r="N78" s="38" t="n">
        <f aca="false">IF(G78&gt;0,J78/G78,0)</f>
        <v>705.094948802337</v>
      </c>
    </row>
    <row r="79" customFormat="false" ht="15" hidden="false" customHeight="false" outlineLevel="0" collapsed="false">
      <c r="A79" s="23" t="n">
        <f aca="false">Anlagen!A79</f>
        <v>75</v>
      </c>
      <c r="B79" s="23" t="str">
        <f aca="false">Anlagen!B79</f>
        <v>Sonnenschein</v>
      </c>
      <c r="C79" s="23" t="str">
        <f aca="false">Anlagen!D79</f>
        <v>A – Stabil</v>
      </c>
      <c r="D79" s="23" t="str">
        <f aca="false">Netz!N79</f>
        <v>Erdenglück: GW 6–7</v>
      </c>
      <c r="E79" s="23" t="n">
        <f aca="false">Anlagen!F79</f>
        <v>40</v>
      </c>
      <c r="F79" s="30" t="n">
        <f aca="false">Buchungsquote!T79</f>
        <v>0.625610412926391</v>
      </c>
      <c r="G79" s="31" t="n">
        <f aca="false">Buchungsquote!V79</f>
        <v>25.0244165170557</v>
      </c>
      <c r="H79" s="38" t="n">
        <f aca="false">G79*Preis_Jahr</f>
        <v>3002.92998204668</v>
      </c>
      <c r="I79" s="30" t="n">
        <f aca="false">IFERROR(E79/INDEX(Standorte!$D$5:$D$92,MATCH(Netz!C79,Anlagen!$A$5:$A$92,0)),0)</f>
        <v>0.0845665961945032</v>
      </c>
      <c r="J79" s="38" t="n">
        <f aca="false">Investition!N79+I79*IFERROR(INDEX(Standorte!$N$5:$N$92,MATCH(Netz!C79,Anlagen!$A$5:$A$92,0)),0)</f>
        <v>15248.8842488877</v>
      </c>
      <c r="K79" s="38" t="n">
        <f aca="false">Investition!O79+I79*IFERROR(INDEX(Standorte!$O$5:$O$92,MATCH(Netz!C79,Anlagen!$A$5:$A$92,0)),0)+H79*Zahlung</f>
        <v>937.889522065453</v>
      </c>
      <c r="L79" s="38" t="n">
        <f aca="false">H79-K79</f>
        <v>2065.04045998123</v>
      </c>
      <c r="M79" s="31" t="n">
        <f aca="false">IF(L79&gt;0,J79/L79,"nie")</f>
        <v>7.38430289594731</v>
      </c>
      <c r="N79" s="38" t="n">
        <f aca="false">IF(G79&gt;0,J79/G79,0)</f>
        <v>609.360231775821</v>
      </c>
    </row>
    <row r="80" customFormat="false" ht="15" hidden="false" customHeight="false" outlineLevel="0" collapsed="false">
      <c r="A80" s="23" t="n">
        <f aca="false">Anlagen!A80</f>
        <v>76</v>
      </c>
      <c r="B80" s="23" t="str">
        <f aca="false">Anlagen!B80</f>
        <v>Sonnenwinkel</v>
      </c>
      <c r="C80" s="23" t="str">
        <f aca="false">Anlagen!D80</f>
        <v>A – Stabil</v>
      </c>
      <c r="D80" s="23" t="str">
        <f aca="false">Netz!N80</f>
        <v>Birkenwäldchen: GW 7–8</v>
      </c>
      <c r="E80" s="23" t="n">
        <f aca="false">Anlagen!F80</f>
        <v>48</v>
      </c>
      <c r="F80" s="30" t="n">
        <f aca="false">Buchungsquote!T80</f>
        <v>0.603833865814697</v>
      </c>
      <c r="G80" s="31" t="n">
        <f aca="false">Buchungsquote!V80</f>
        <v>28.9840255591054</v>
      </c>
      <c r="H80" s="38" t="n">
        <f aca="false">G80*Preis_Jahr</f>
        <v>3478.08306709265</v>
      </c>
      <c r="I80" s="30" t="n">
        <f aca="false">IFERROR(E80/INDEX(Standorte!$D$5:$D$92,MATCH(Netz!C80,Anlagen!$A$5:$A$92,0)),0)</f>
        <v>0.0883977900552486</v>
      </c>
      <c r="J80" s="38" t="n">
        <f aca="false">Investition!N80+I80*IFERROR(INDEX(Standorte!$N$5:$N$92,MATCH(Netz!C80,Anlagen!$A$5:$A$92,0)),0)</f>
        <v>17590.4890940897</v>
      </c>
      <c r="K80" s="38" t="n">
        <f aca="false">Investition!O80+I80*IFERROR(INDEX(Standorte!$O$5:$O$92,MATCH(Netz!C80,Anlagen!$A$5:$A$92,0)),0)+H80*Zahlung</f>
        <v>1094.11904328851</v>
      </c>
      <c r="L80" s="38" t="n">
        <f aca="false">H80-K80</f>
        <v>2383.96402380414</v>
      </c>
      <c r="M80" s="31" t="n">
        <f aca="false">IF(L80&gt;0,J80/L80,"nie")</f>
        <v>7.37867221084158</v>
      </c>
      <c r="N80" s="38" t="n">
        <f aca="false">IF(G80&gt;0,J80/G80,0)</f>
        <v>606.902897536384</v>
      </c>
    </row>
    <row r="81" customFormat="false" ht="15" hidden="false" customHeight="false" outlineLevel="0" collapsed="false">
      <c r="A81" s="23" t="n">
        <f aca="false">Anlagen!A81</f>
        <v>77</v>
      </c>
      <c r="B81" s="23" t="str">
        <f aca="false">Anlagen!B81</f>
        <v>Sorgenfrei I</v>
      </c>
      <c r="C81" s="23" t="str">
        <f aca="false">Anlagen!D81</f>
        <v>B – Beobachtung</v>
      </c>
      <c r="D81" s="23" t="str">
        <f aca="false">Netz!N81</f>
        <v>Birkenwäldchen: GW 8</v>
      </c>
      <c r="E81" s="23" t="n">
        <f aca="false">Anlagen!F81</f>
        <v>45</v>
      </c>
      <c r="F81" s="30" t="n">
        <f aca="false">Buchungsquote!T81</f>
        <v>0.604348739495798</v>
      </c>
      <c r="G81" s="31" t="n">
        <f aca="false">Buchungsquote!V81</f>
        <v>27.1956932773109</v>
      </c>
      <c r="H81" s="38" t="n">
        <f aca="false">G81*Preis_Jahr</f>
        <v>3263.48319327731</v>
      </c>
      <c r="I81" s="30" t="n">
        <f aca="false">IFERROR(E81/INDEX(Standorte!$D$5:$D$92,MATCH(Netz!C81,Anlagen!$A$5:$A$92,0)),0)</f>
        <v>0.0828729281767956</v>
      </c>
      <c r="J81" s="38" t="n">
        <f aca="false">Investition!N81+I81*IFERROR(INDEX(Standorte!$N$5:$N$92,MATCH(Netz!C81,Anlagen!$A$5:$A$92,0)),0)</f>
        <v>15797.7840613551</v>
      </c>
      <c r="K81" s="38" t="n">
        <f aca="false">Investition!O81+I81*IFERROR(INDEX(Standorte!$O$5:$O$92,MATCH(Netz!C81,Anlagen!$A$5:$A$92,0)),0)+H81*Zahlung</f>
        <v>960.396028688697</v>
      </c>
      <c r="L81" s="38" t="n">
        <f aca="false">H81-K81</f>
        <v>2303.08716458861</v>
      </c>
      <c r="M81" s="31" t="n">
        <f aca="false">IF(L81&gt;0,J81/L81,"nie")</f>
        <v>6.85939477422123</v>
      </c>
      <c r="N81" s="38" t="n">
        <f aca="false">IF(G81&gt;0,J81/G81,0)</f>
        <v>580.892860507993</v>
      </c>
    </row>
    <row r="82" customFormat="false" ht="15" hidden="false" customHeight="false" outlineLevel="0" collapsed="false">
      <c r="A82" s="23" t="n">
        <f aca="false">Anlagen!A82</f>
        <v>78</v>
      </c>
      <c r="B82" s="23" t="str">
        <f aca="false">Anlagen!B82</f>
        <v>Sorgenfrei II</v>
      </c>
      <c r="C82" s="23" t="str">
        <f aca="false">Anlagen!D82</f>
        <v>B – Beobachtung</v>
      </c>
      <c r="D82" s="23" t="str">
        <f aca="false">Netz!N82</f>
        <v>Sommerfreude II: GW 7</v>
      </c>
      <c r="E82" s="23" t="n">
        <f aca="false">Anlagen!F82</f>
        <v>23</v>
      </c>
      <c r="F82" s="30" t="n">
        <f aca="false">Buchungsquote!T82</f>
        <v>0.564661274014156</v>
      </c>
      <c r="G82" s="31" t="n">
        <f aca="false">Buchungsquote!V82</f>
        <v>12.9872093023256</v>
      </c>
      <c r="H82" s="38" t="n">
        <f aca="false">G82*Preis_Jahr</f>
        <v>1558.46511627907</v>
      </c>
      <c r="I82" s="30" t="n">
        <f aca="false">IFERROR(E82/INDEX(Standorte!$D$5:$D$92,MATCH(Netz!C82,Anlagen!$A$5:$A$92,0)),0)</f>
        <v>0.0633608815426997</v>
      </c>
      <c r="J82" s="38" t="n">
        <f aca="false">Investition!N82+I82*IFERROR(INDEX(Standorte!$N$5:$N$92,MATCH(Netz!C82,Anlagen!$A$5:$A$92,0)),0)</f>
        <v>10943.9150253615</v>
      </c>
      <c r="K82" s="38" t="n">
        <f aca="false">Investition!O82+I82*IFERROR(INDEX(Standorte!$O$5:$O$92,MATCH(Netz!C82,Anlagen!$A$5:$A$92,0)),0)+H82*Zahlung</f>
        <v>581.157767885582</v>
      </c>
      <c r="L82" s="38" t="n">
        <f aca="false">H82-K82</f>
        <v>977.307348393488</v>
      </c>
      <c r="M82" s="31" t="n">
        <f aca="false">IF(L82&gt;0,J82/L82,"nie")</f>
        <v>11.1980279728289</v>
      </c>
      <c r="N82" s="38" t="n">
        <f aca="false">IF(G82&gt;0,J82/G82,0)</f>
        <v>842.668718937319</v>
      </c>
    </row>
    <row r="83" customFormat="false" ht="15" hidden="false" customHeight="false" outlineLevel="0" collapsed="false">
      <c r="A83" s="23" t="n">
        <f aca="false">Anlagen!A83</f>
        <v>79</v>
      </c>
      <c r="B83" s="23" t="str">
        <f aca="false">Anlagen!B83</f>
        <v>Sportpark</v>
      </c>
      <c r="C83" s="23" t="str">
        <f aca="false">Anlagen!D83</f>
        <v>C – Qualifizierung</v>
      </c>
      <c r="D83" s="23" t="str">
        <f aca="false">Netz!N83</f>
        <v>Eigener Fleiß: GW 10</v>
      </c>
      <c r="E83" s="23" t="n">
        <f aca="false">Anlagen!F83</f>
        <v>37</v>
      </c>
      <c r="F83" s="30" t="n">
        <f aca="false">Buchungsquote!T83</f>
        <v>0.471462345302181</v>
      </c>
      <c r="G83" s="31" t="n">
        <f aca="false">Buchungsquote!V83</f>
        <v>17.4441067761807</v>
      </c>
      <c r="H83" s="38" t="n">
        <f aca="false">G83*Preis_Jahr</f>
        <v>2093.29281314168</v>
      </c>
      <c r="I83" s="30" t="n">
        <f aca="false">IFERROR(E83/INDEX(Standorte!$D$5:$D$92,MATCH(Netz!C83,Anlagen!$A$5:$A$92,0)),0)</f>
        <v>0.0677655677655678</v>
      </c>
      <c r="J83" s="38" t="n">
        <f aca="false">Investition!N83+I83*IFERROR(INDEX(Standorte!$N$5:$N$92,MATCH(Netz!C83,Anlagen!$A$5:$A$92,0)),0)</f>
        <v>14651.4636224915</v>
      </c>
      <c r="K83" s="38" t="n">
        <f aca="false">Investition!O83+I83*IFERROR(INDEX(Standorte!$O$5:$O$92,MATCH(Netz!C83,Anlagen!$A$5:$A$92,0)),0)+H83*Zahlung</f>
        <v>852.608077684379</v>
      </c>
      <c r="L83" s="38" t="n">
        <f aca="false">H83-K83</f>
        <v>1240.68473545731</v>
      </c>
      <c r="M83" s="31" t="n">
        <f aca="false">IF(L83&gt;0,J83/L83,"nie")</f>
        <v>11.8091753720908</v>
      </c>
      <c r="N83" s="38" t="n">
        <f aca="false">IF(G83&gt;0,J83/G83,0)</f>
        <v>839.909077058477</v>
      </c>
    </row>
    <row r="84" customFormat="false" ht="15" hidden="false" customHeight="false" outlineLevel="0" collapsed="false">
      <c r="A84" s="23" t="n">
        <f aca="false">Anlagen!A84</f>
        <v>80</v>
      </c>
      <c r="B84" s="23" t="str">
        <f aca="false">Anlagen!B84</f>
        <v>Stiller Winkel</v>
      </c>
      <c r="C84" s="23" t="str">
        <f aca="false">Anlagen!D84</f>
        <v>B – Beobachtung</v>
      </c>
      <c r="D84" s="23" t="str">
        <f aca="false">Netz!N84</f>
        <v>Birkenwäldchen: GW 8–9</v>
      </c>
      <c r="E84" s="23" t="n">
        <f aca="false">Anlagen!F84</f>
        <v>50</v>
      </c>
      <c r="F84" s="30" t="n">
        <f aca="false">Buchungsquote!T84</f>
        <v>0.552838095238095</v>
      </c>
      <c r="G84" s="31" t="n">
        <f aca="false">Buchungsquote!V84</f>
        <v>27.6419047619048</v>
      </c>
      <c r="H84" s="38" t="n">
        <f aca="false">G84*Preis_Jahr</f>
        <v>3317.02857142857</v>
      </c>
      <c r="I84" s="30" t="n">
        <f aca="false">IFERROR(E84/INDEX(Standorte!$D$5:$D$92,MATCH(Netz!C84,Anlagen!$A$5:$A$92,0)),0)</f>
        <v>0.0920810313075507</v>
      </c>
      <c r="J84" s="38" t="n">
        <f aca="false">Investition!N84+I84*IFERROR(INDEX(Standorte!$N$5:$N$92,MATCH(Netz!C84,Anlagen!$A$5:$A$92,0)),0)</f>
        <v>17830.1715300209</v>
      </c>
      <c r="K84" s="38" t="n">
        <f aca="false">Investition!O84+I84*IFERROR(INDEX(Standorte!$O$5:$O$92,MATCH(Netz!C84,Anlagen!$A$5:$A$92,0)),0)+H84*Zahlung</f>
        <v>1105.81379309873</v>
      </c>
      <c r="L84" s="38" t="n">
        <f aca="false">H84-K84</f>
        <v>2211.21477832984</v>
      </c>
      <c r="M84" s="31" t="n">
        <f aca="false">IF(L84&gt;0,J84/L84,"nie")</f>
        <v>8.063518616445</v>
      </c>
      <c r="N84" s="38" t="n">
        <f aca="false">IF(G84&gt;0,J84/G84,0)</f>
        <v>645.041348763851</v>
      </c>
    </row>
    <row r="85" customFormat="false" ht="15" hidden="false" customHeight="false" outlineLevel="0" collapsed="false">
      <c r="A85" s="23" t="n">
        <f aca="false">Anlagen!A85</f>
        <v>81</v>
      </c>
      <c r="B85" s="23" t="str">
        <f aca="false">Anlagen!B85</f>
        <v>Traumland</v>
      </c>
      <c r="C85" s="23" t="str">
        <f aca="false">Anlagen!D85</f>
        <v>B – Beobachtung</v>
      </c>
      <c r="D85" s="23" t="str">
        <f aca="false">Netz!N85</f>
        <v>Traumland: GW 1</v>
      </c>
      <c r="E85" s="23" t="n">
        <f aca="false">Anlagen!F85</f>
        <v>49</v>
      </c>
      <c r="F85" s="30" t="n">
        <f aca="false">Buchungsquote!T85</f>
        <v>0.594053821144581</v>
      </c>
      <c r="G85" s="31" t="n">
        <f aca="false">Buchungsquote!V85</f>
        <v>29.1086372360845</v>
      </c>
      <c r="H85" s="38" t="n">
        <f aca="false">G85*Preis_Jahr</f>
        <v>3493.03646833013</v>
      </c>
      <c r="I85" s="30" t="n">
        <f aca="false">IFERROR(E85/INDEX(Standorte!$D$5:$D$92,MATCH(Netz!C85,Anlagen!$A$5:$A$92,0)),0)</f>
        <v>0.583333333333333</v>
      </c>
      <c r="J85" s="38" t="n">
        <f aca="false">Investition!N85+I85*IFERROR(INDEX(Standorte!$N$5:$N$92,MATCH(Netz!C85,Anlagen!$A$5:$A$92,0)),0)</f>
        <v>17421.1390754795</v>
      </c>
      <c r="K85" s="38" t="n">
        <f aca="false">Investition!O85+I85*IFERROR(INDEX(Standorte!$O$5:$O$92,MATCH(Netz!C85,Anlagen!$A$5:$A$92,0)),0)+H85*Zahlung</f>
        <v>1580.41693298095</v>
      </c>
      <c r="L85" s="38" t="n">
        <f aca="false">H85-K85</f>
        <v>1912.61953534918</v>
      </c>
      <c r="M85" s="31" t="n">
        <f aca="false">IF(L85&gt;0,J85/L85,"nie")</f>
        <v>9.10852302483617</v>
      </c>
      <c r="N85" s="38" t="n">
        <f aca="false">IF(G85&gt;0,J85/G85,0)</f>
        <v>598.486934794851</v>
      </c>
    </row>
    <row r="86" customFormat="false" ht="15" hidden="false" customHeight="false" outlineLevel="0" collapsed="false">
      <c r="A86" s="23" t="n">
        <f aca="false">Anlagen!A86</f>
        <v>82</v>
      </c>
      <c r="B86" s="23" t="str">
        <f aca="false">Anlagen!B86</f>
        <v>Waldfrieden</v>
      </c>
      <c r="C86" s="23" t="str">
        <f aca="false">Anlagen!D86</f>
        <v>A – Stabil</v>
      </c>
      <c r="D86" s="23" t="str">
        <f aca="false">Netz!N86</f>
        <v>Erdenglück: GW 7–9</v>
      </c>
      <c r="E86" s="23" t="n">
        <f aca="false">Anlagen!F86</f>
        <v>90</v>
      </c>
      <c r="F86" s="30" t="n">
        <f aca="false">Buchungsquote!T86</f>
        <v>0.59375543951262</v>
      </c>
      <c r="G86" s="31" t="n">
        <f aca="false">Buchungsquote!V86</f>
        <v>53.4379895561358</v>
      </c>
      <c r="H86" s="38" t="n">
        <f aca="false">G86*Preis_Jahr</f>
        <v>6412.55874673629</v>
      </c>
      <c r="I86" s="30" t="n">
        <f aca="false">IFERROR(E86/INDEX(Standorte!$D$5:$D$92,MATCH(Netz!C86,Anlagen!$A$5:$A$92,0)),0)</f>
        <v>0.190274841437632</v>
      </c>
      <c r="J86" s="38" t="n">
        <f aca="false">Investition!N86+I86*IFERROR(INDEX(Standorte!$N$5:$N$92,MATCH(Netz!C86,Anlagen!$A$5:$A$92,0)),0)</f>
        <v>29620.3913439486</v>
      </c>
      <c r="K86" s="38" t="n">
        <f aca="false">Investition!O86+I86*IFERROR(INDEX(Standorte!$O$5:$O$92,MATCH(Netz!C86,Anlagen!$A$5:$A$92,0)),0)+H86*Zahlung</f>
        <v>1914.61746677974</v>
      </c>
      <c r="L86" s="38" t="n">
        <f aca="false">H86-K86</f>
        <v>4497.94127995655</v>
      </c>
      <c r="M86" s="31" t="n">
        <f aca="false">IF(L86&gt;0,J86/L86,"nie")</f>
        <v>6.58532192848786</v>
      </c>
      <c r="N86" s="38" t="n">
        <f aca="false">IF(G86&gt;0,J86/G86,0)</f>
        <v>554.294643005476</v>
      </c>
    </row>
    <row r="87" customFormat="false" ht="15" hidden="false" customHeight="false" outlineLevel="0" collapsed="false">
      <c r="A87" s="23" t="n">
        <f aca="false">Anlagen!A87</f>
        <v>83</v>
      </c>
      <c r="B87" s="23" t="str">
        <f aca="false">Anlagen!B87</f>
        <v>Weinmeisterweg</v>
      </c>
      <c r="C87" s="23" t="str">
        <f aca="false">Anlagen!D87</f>
        <v>A – Stabil</v>
      </c>
      <c r="D87" s="23" t="str">
        <f aca="false">Netz!N87</f>
        <v>Erdenglück: GW 9</v>
      </c>
      <c r="E87" s="23" t="n">
        <f aca="false">Anlagen!F87</f>
        <v>26</v>
      </c>
      <c r="F87" s="30" t="n">
        <f aca="false">Buchungsquote!T87</f>
        <v>0.569727891156463</v>
      </c>
      <c r="G87" s="31" t="n">
        <f aca="false">Buchungsquote!V87</f>
        <v>14.812925170068</v>
      </c>
      <c r="H87" s="38" t="n">
        <f aca="false">G87*Preis_Jahr</f>
        <v>1777.55102040816</v>
      </c>
      <c r="I87" s="30" t="n">
        <f aca="false">IFERROR(E87/INDEX(Standorte!$D$5:$D$92,MATCH(Netz!C87,Anlagen!$A$5:$A$92,0)),0)</f>
        <v>0.0549682875264271</v>
      </c>
      <c r="J87" s="38" t="n">
        <f aca="false">Investition!N87+I87*IFERROR(INDEX(Standorte!$N$5:$N$92,MATCH(Netz!C87,Anlagen!$A$5:$A$92,0)),0)</f>
        <v>12947.0299929436</v>
      </c>
      <c r="K87" s="38" t="n">
        <f aca="false">Investition!O87+I87*IFERROR(INDEX(Standorte!$O$5:$O$92,MATCH(Netz!C87,Anlagen!$A$5:$A$92,0)),0)+H87*Zahlung</f>
        <v>698.430242239876</v>
      </c>
      <c r="L87" s="38" t="n">
        <f aca="false">H87-K87</f>
        <v>1079.12077816829</v>
      </c>
      <c r="M87" s="31" t="n">
        <f aca="false">IF(L87&gt;0,J87/L87,"nie")</f>
        <v>11.9977580405041</v>
      </c>
      <c r="N87" s="38" t="n">
        <f aca="false">IF(G87&gt;0,J87/G87,0)</f>
        <v>874.036008708477</v>
      </c>
    </row>
    <row r="88" customFormat="false" ht="15" hidden="false" customHeight="false" outlineLevel="0" collapsed="false">
      <c r="A88" s="23" t="n">
        <f aca="false">Anlagen!A88</f>
        <v>84</v>
      </c>
      <c r="B88" s="23" t="str">
        <f aca="false">Anlagen!B88</f>
        <v>Wittstocker Gäßchen</v>
      </c>
      <c r="C88" s="23" t="str">
        <f aca="false">Anlagen!D88</f>
        <v>B – Beobachtung</v>
      </c>
      <c r="D88" s="23" t="str">
        <f aca="false">Netz!N88</f>
        <v>Birkenwäldchen: GW 9–10</v>
      </c>
      <c r="E88" s="23" t="n">
        <f aca="false">Anlagen!F88</f>
        <v>54</v>
      </c>
      <c r="F88" s="30" t="n">
        <f aca="false">Buchungsquote!T88</f>
        <v>0.54797507788162</v>
      </c>
      <c r="G88" s="31" t="n">
        <f aca="false">Buchungsquote!V88</f>
        <v>29.5906542056075</v>
      </c>
      <c r="H88" s="38" t="n">
        <f aca="false">G88*Preis_Jahr</f>
        <v>3550.8785046729</v>
      </c>
      <c r="I88" s="30" t="n">
        <f aca="false">IFERROR(E88/INDEX(Standorte!$D$5:$D$92,MATCH(Netz!C88,Anlagen!$A$5:$A$92,0)),0)</f>
        <v>0.0994475138121547</v>
      </c>
      <c r="J88" s="38" t="n">
        <f aca="false">Investition!N88+I88*IFERROR(INDEX(Standorte!$N$5:$N$92,MATCH(Netz!C88,Anlagen!$A$5:$A$92,0)),0)</f>
        <v>19274.2259025955</v>
      </c>
      <c r="K88" s="38" t="n">
        <f aca="false">Investition!O88+I88*IFERROR(INDEX(Standorte!$O$5:$O$92,MATCH(Netz!C88,Anlagen!$A$5:$A$92,0)),0)+H88*Zahlung</f>
        <v>1174.82274547772</v>
      </c>
      <c r="L88" s="38" t="n">
        <f aca="false">H88-K88</f>
        <v>2376.05575919518</v>
      </c>
      <c r="M88" s="31" t="n">
        <f aca="false">IF(L88&gt;0,J88/L88,"nie")</f>
        <v>8.11185757236779</v>
      </c>
      <c r="N88" s="38" t="n">
        <f aca="false">IF(G88&gt;0,J88/G88,0)</f>
        <v>651.361939099778</v>
      </c>
    </row>
    <row r="89" customFormat="false" ht="15" hidden="false" customHeight="false" outlineLevel="0" collapsed="false">
      <c r="A89" s="23" t="n">
        <f aca="false">Anlagen!A89</f>
        <v>85</v>
      </c>
      <c r="B89" s="23" t="str">
        <f aca="false">Anlagen!B89</f>
        <v>Zukunft</v>
      </c>
      <c r="C89" s="23" t="str">
        <f aca="false">Anlagen!D89</f>
        <v>A – Stabil</v>
      </c>
      <c r="D89" s="23" t="str">
        <f aca="false">Netz!N89</f>
        <v>Zukunft: GW 1–2</v>
      </c>
      <c r="E89" s="23" t="n">
        <f aca="false">Anlagen!F89</f>
        <v>85</v>
      </c>
      <c r="F89" s="30" t="n">
        <f aca="false">Buchungsquote!T89</f>
        <v>0.602005394750493</v>
      </c>
      <c r="G89" s="31" t="n">
        <f aca="false">Buchungsquote!V89</f>
        <v>51.1704585537919</v>
      </c>
      <c r="H89" s="38" t="n">
        <f aca="false">G89*Preis_Jahr</f>
        <v>6140.45502645503</v>
      </c>
      <c r="I89" s="30" t="n">
        <f aca="false">IFERROR(E89/INDEX(Standorte!$D$5:$D$92,MATCH(Netz!C89,Anlagen!$A$5:$A$92,0)),0)</f>
        <v>0.311355311355311</v>
      </c>
      <c r="J89" s="38" t="n">
        <f aca="false">Investition!N89+I89*IFERROR(INDEX(Standorte!$N$5:$N$92,MATCH(Netz!C89,Anlagen!$A$5:$A$92,0)),0)</f>
        <v>25762.0136362104</v>
      </c>
      <c r="K89" s="38" t="n">
        <f aca="false">Investition!O89+I89*IFERROR(INDEX(Standorte!$O$5:$O$92,MATCH(Netz!C89,Anlagen!$A$5:$A$92,0)),0)+H89*Zahlung</f>
        <v>1723.49072654663</v>
      </c>
      <c r="L89" s="38" t="n">
        <f aca="false">H89-K89</f>
        <v>4416.9642999084</v>
      </c>
      <c r="M89" s="31" t="n">
        <f aca="false">IF(L89&gt;0,J89/L89,"nie")</f>
        <v>5.83251570241232</v>
      </c>
      <c r="N89" s="38" t="n">
        <f aca="false">IF(G89&gt;0,J89/G89,0)</f>
        <v>503.454812880533</v>
      </c>
    </row>
    <row r="90" customFormat="false" ht="15" hidden="false" customHeight="false" outlineLevel="0" collapsed="false">
      <c r="A90" s="23" t="n">
        <f aca="false">Anlagen!A90</f>
        <v>86</v>
      </c>
      <c r="B90" s="23" t="str">
        <f aca="false">Anlagen!B90</f>
        <v>Zum Burgweg</v>
      </c>
      <c r="C90" s="23" t="str">
        <f aca="false">Anlagen!D90</f>
        <v>A – Stabil</v>
      </c>
      <c r="D90" s="23" t="str">
        <f aca="false">Netz!N90</f>
        <v>Zukunft: GW 5</v>
      </c>
      <c r="E90" s="23" t="n">
        <f aca="false">Anlagen!F90</f>
        <v>9</v>
      </c>
      <c r="F90" s="30" t="n">
        <f aca="false">Buchungsquote!T90</f>
        <v>0.573305084745763</v>
      </c>
      <c r="G90" s="31" t="n">
        <f aca="false">Buchungsquote!V90</f>
        <v>5.15974576271186</v>
      </c>
      <c r="H90" s="38" t="n">
        <f aca="false">G90*Preis_Jahr</f>
        <v>619.169491525424</v>
      </c>
      <c r="I90" s="30" t="n">
        <f aca="false">IFERROR(E90/INDEX(Standorte!$D$5:$D$92,MATCH(Netz!C90,Anlagen!$A$5:$A$92,0)),0)</f>
        <v>0.032967032967033</v>
      </c>
      <c r="J90" s="38" t="n">
        <f aca="false">Investition!N90+I90*IFERROR(INDEX(Standorte!$N$5:$N$92,MATCH(Netz!C90,Anlagen!$A$5:$A$92,0)),0)</f>
        <v>5944.48449242494</v>
      </c>
      <c r="K90" s="38" t="n">
        <f aca="false">Investition!O90+I90*IFERROR(INDEX(Standorte!$O$5:$O$92,MATCH(Netz!C90,Anlagen!$A$5:$A$92,0)),0)+H90*Zahlung</f>
        <v>299.759619518511</v>
      </c>
      <c r="L90" s="38" t="n">
        <f aca="false">H90-K90</f>
        <v>319.409872006913</v>
      </c>
      <c r="M90" s="31" t="n">
        <f aca="false">IF(L90&gt;0,J90/L90,"nie")</f>
        <v>18.6108352101788</v>
      </c>
      <c r="N90" s="38" t="n">
        <f aca="false">IF(G90&gt;0,J90/G90,0)</f>
        <v>1152.08864269712</v>
      </c>
    </row>
    <row r="91" customFormat="false" ht="15" hidden="false" customHeight="false" outlineLevel="0" collapsed="false">
      <c r="A91" s="23" t="n">
        <f aca="false">Anlagen!A91</f>
        <v>87</v>
      </c>
      <c r="B91" s="23" t="str">
        <f aca="false">Anlagen!B91</f>
        <v>Zum kühlen Grunde</v>
      </c>
      <c r="C91" s="23" t="str">
        <f aca="false">Anlagen!D91</f>
        <v>A – Stabil</v>
      </c>
      <c r="D91" s="23" t="str">
        <f aca="false">Netz!N91</f>
        <v>Zukunft: GW 5</v>
      </c>
      <c r="E91" s="23" t="n">
        <f aca="false">Anlagen!F91</f>
        <v>26</v>
      </c>
      <c r="F91" s="30" t="n">
        <f aca="false">Buchungsquote!T91</f>
        <v>0.58545197740113</v>
      </c>
      <c r="G91" s="31" t="n">
        <f aca="false">Buchungsquote!V91</f>
        <v>15.2217514124294</v>
      </c>
      <c r="H91" s="38" t="n">
        <f aca="false">G91*Preis_Jahr</f>
        <v>1826.61016949153</v>
      </c>
      <c r="I91" s="30" t="n">
        <f aca="false">IFERROR(E91/INDEX(Standorte!$D$5:$D$92,MATCH(Netz!C91,Anlagen!$A$5:$A$92,0)),0)</f>
        <v>0.0952380952380952</v>
      </c>
      <c r="J91" s="38" t="n">
        <f aca="false">Investition!N91+I91*IFERROR(INDEX(Standorte!$N$5:$N$92,MATCH(Netz!C91,Anlagen!$A$5:$A$92,0)),0)</f>
        <v>11676.6307250521</v>
      </c>
      <c r="K91" s="38" t="n">
        <f aca="false">Investition!O91+I91*IFERROR(INDEX(Standorte!$O$5:$O$92,MATCH(Netz!C91,Anlagen!$A$5:$A$92,0)),0)+H91*Zahlung</f>
        <v>649.330560169642</v>
      </c>
      <c r="L91" s="38" t="n">
        <f aca="false">H91-K91</f>
        <v>1177.27960932188</v>
      </c>
      <c r="M91" s="31" t="n">
        <f aca="false">IF(L91&gt;0,J91/L91,"nie")</f>
        <v>9.91831560879398</v>
      </c>
      <c r="N91" s="38" t="n">
        <f aca="false">IF(G91&gt;0,J91/G91,0)</f>
        <v>767.101656614725</v>
      </c>
    </row>
    <row r="92" customFormat="false" ht="15" hidden="false" customHeight="false" outlineLevel="0" collapsed="false">
      <c r="A92" s="23" t="n">
        <f aca="false">Anlagen!A92</f>
        <v>88</v>
      </c>
      <c r="B92" s="23" t="str">
        <f aca="false">Anlagen!B92</f>
        <v>Zur Insel</v>
      </c>
      <c r="C92" s="23" t="str">
        <f aca="false">Anlagen!D92</f>
        <v>A – Stabil</v>
      </c>
      <c r="D92" s="23" t="str">
        <f aca="false">Netz!N92</f>
        <v>Helgoland: GW 9–10</v>
      </c>
      <c r="E92" s="23" t="n">
        <f aca="false">Anlagen!F92</f>
        <v>86</v>
      </c>
      <c r="F92" s="30" t="n">
        <f aca="false">Buchungsquote!T92</f>
        <v>0.562487992315082</v>
      </c>
      <c r="G92" s="31" t="n">
        <f aca="false">Buchungsquote!V92</f>
        <v>48.373967339097</v>
      </c>
      <c r="H92" s="38" t="n">
        <f aca="false">G92*Preis_Jahr</f>
        <v>5804.87608069164</v>
      </c>
      <c r="I92" s="30" t="n">
        <f aca="false">IFERROR(E92/INDEX(Standorte!$D$5:$D$92,MATCH(Netz!C92,Anlagen!$A$5:$A$92,0)),0)</f>
        <v>0.156648451730419</v>
      </c>
      <c r="J92" s="38" t="n">
        <f aca="false">Investition!N92+I92*IFERROR(INDEX(Standorte!$N$5:$N$92,MATCH(Netz!C92,Anlagen!$A$5:$A$92,0)),0)</f>
        <v>29993.0096222422</v>
      </c>
      <c r="K92" s="38" t="n">
        <f aca="false">Investition!O92+I92*IFERROR(INDEX(Standorte!$O$5:$O$92,MATCH(Netz!C92,Anlagen!$A$5:$A$92,0)),0)+H92*Zahlung</f>
        <v>1827.99340168911</v>
      </c>
      <c r="L92" s="38" t="n">
        <f aca="false">H92-K92</f>
        <v>3976.88267900254</v>
      </c>
      <c r="M92" s="31" t="n">
        <f aca="false">IF(L92&gt;0,J92/L92,"nie")</f>
        <v>7.54183918489767</v>
      </c>
      <c r="N92" s="38" t="n">
        <f aca="false">IF(G92&gt;0,J92/G92,0)</f>
        <v>620.023770471294</v>
      </c>
    </row>
    <row r="93" customFormat="false" ht="15" hidden="false" customHeight="false" outlineLevel="0" collapsed="false">
      <c r="B93" s="32" t="s">
        <v>518</v>
      </c>
      <c r="E93" s="33" t="n">
        <f aca="false">SUM(E5:E92)</f>
        <v>5017</v>
      </c>
      <c r="F93" s="34" t="n">
        <f aca="false">G93/E93</f>
        <v>0.561055133421777</v>
      </c>
      <c r="G93" s="33" t="n">
        <f aca="false">SUM(G5:G92)</f>
        <v>2814.81360437705</v>
      </c>
      <c r="H93" s="39" t="n">
        <f aca="false">SUM(H5:H92)</f>
        <v>337777.632525246</v>
      </c>
      <c r="J93" s="39" t="n">
        <f aca="false">SUM(J5:J92)</f>
        <v>1768027.27576516</v>
      </c>
      <c r="K93" s="39" t="n">
        <f aca="false">SUM(K5:K92)</f>
        <v>114379.847248712</v>
      </c>
      <c r="L93" s="39" t="n">
        <f aca="false">SUM(L5:L92)</f>
        <v>223397.785276534</v>
      </c>
      <c r="M93" s="41" t="n">
        <f aca="false">IF(L93&gt;0,J93/L93,"nie")</f>
        <v>7.91425605932751</v>
      </c>
      <c r="N93" s="39" t="n">
        <f aca="false">J93/G93</f>
        <v>628.115223336943</v>
      </c>
    </row>
  </sheetData>
  <autoFilter ref="A4:N92"/>
  <conditionalFormatting sqref="L5:L92">
    <cfRule type="cellIs" priority="2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2026-10-16T20:41:43Z</dcterms:created>
  <dc:creator>openpyxl</dc:creator>
  <dc:description/>
  <dc:language>en-US</dc:language>
  <cp:lastModifiedBy/>
  <dcterms:modified xsi:type="dcterms:W3CDTF">2026-10-16T20:41:43Z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